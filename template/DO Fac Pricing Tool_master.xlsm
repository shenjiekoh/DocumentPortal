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comments5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FINANCIAL LINES\Worksheet &amp; Pricing Tool\D&amp;O\"/>
    </mc:Choice>
  </mc:AlternateContent>
  <xr:revisionPtr revIDLastSave="0" documentId="13_ncr:1_{FB4AC8AB-4824-4107-B96C-02387BAD8240}" xr6:coauthVersionLast="47" xr6:coauthVersionMax="47" xr10:uidLastSave="{00000000-0000-0000-0000-000000000000}"/>
  <bookViews>
    <workbookView xWindow="28680" yWindow="-120" windowWidth="29040" windowHeight="15840" tabRatio="661" activeTab="4" xr2:uid="{00000000-000D-0000-FFFF-FFFF00000000}"/>
  </bookViews>
  <sheets>
    <sheet name="Input &amp; Cal" sheetId="1" r:id="rId1"/>
    <sheet name="Data" sheetId="16" state="hidden" r:id="rId2"/>
    <sheet name="Score" sheetId="17" state="hidden" r:id="rId3"/>
    <sheet name="Results" sheetId="18" state="hidden" r:id="rId4"/>
    <sheet name="FA 2020" sheetId="19" r:id="rId5"/>
    <sheet name="Fin Analysis Decision Tree" sheetId="20" state="hidden" r:id="rId6"/>
    <sheet name="Sheet1" sheetId="9" state="hidden" r:id="rId7"/>
    <sheet name="Financial Conditions" sheetId="4" state="hidden" r:id="rId8"/>
    <sheet name="Selections &amp; Links" sheetId="2" state="hidden" r:id="rId9"/>
    <sheet name="Factors" sheetId="3" state="hidden" r:id="rId10"/>
    <sheet name="Upload (not yet ready)" sheetId="5" state="hidden" r:id="rId11"/>
    <sheet name="CURRENCY_RATES" sheetId="8" state="hidden" r:id="rId12"/>
  </sheets>
  <functionGroups builtInGroupCount="19"/>
  <definedNames>
    <definedName name="Basis_Limit">'Selections &amp; Links'!$B$108:$B$111</definedName>
    <definedName name="CountryOfDomicile">'Selections &amp; Links'!$B$68:$B$72</definedName>
    <definedName name="Currencies">CURRENCY_RATES!$A$2:$A$52</definedName>
    <definedName name="EntityCoverage">'Selections &amp; Links'!$F$100:$F$101</definedName>
    <definedName name="FinancialConditions">'Selections &amp; Links'!$B$4:$B$7</definedName>
    <definedName name="Industry">'Selections &amp; Links'!$B$56:$B$64</definedName>
    <definedName name="InsdVsInsd">'Selections &amp; Links'!$B$30:$B$32</definedName>
    <definedName name="InternationalActivities">'Selections &amp; Links'!$B$76:$B$80</definedName>
    <definedName name="Listing">'Selections &amp; Links'!$B$11:$B$13</definedName>
    <definedName name="LitigationHistory">'Selections &amp; Links'!$B$50:$B$52</definedName>
    <definedName name="MAactivity">'Selections &amp; Links'!$B$44:$B$46</definedName>
    <definedName name="MajorShareholder">'Selections &amp; Links'!$B$25:$B$27</definedName>
    <definedName name="PublicOfferings">'Selections &amp; Links'!$B$36:$B$40</definedName>
    <definedName name="QualityOfBoard">'Selections &amp; Links'!$B$84:$B$86</definedName>
    <definedName name="Underwriter">'Selections &amp; Links'!$K$4:$K$11</definedName>
    <definedName name="UnderwriterOpinion">'Selections &amp; Links'!$B$95:$B$96</definedName>
    <definedName name="USListing">'Selections &amp; Links'!$B$100:$B$104</definedName>
    <definedName name="Wordings">'Selections &amp; Links'!$B$90:$B$91</definedName>
    <definedName name="YearsInBiz">'Selections &amp; Links'!$B$17:$B$21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20" l="1"/>
  <c r="C126" i="19"/>
  <c r="I94" i="19"/>
  <c r="K94" i="19"/>
  <c r="J94" i="19"/>
  <c r="C88" i="19"/>
  <c r="K96" i="19" l="1"/>
  <c r="J96" i="19"/>
  <c r="I96" i="19"/>
  <c r="D88" i="19"/>
  <c r="K88" i="19" s="1"/>
  <c r="J88" i="19"/>
  <c r="K71" i="19"/>
  <c r="D36" i="19"/>
  <c r="C36" i="19"/>
  <c r="D9" i="19"/>
  <c r="J82" i="19"/>
  <c r="K82" i="19"/>
  <c r="J83" i="19"/>
  <c r="K83" i="19"/>
  <c r="J84" i="19"/>
  <c r="K84" i="19"/>
  <c r="J90" i="19"/>
  <c r="K90" i="19"/>
  <c r="J91" i="19"/>
  <c r="K91" i="19"/>
  <c r="K70" i="19"/>
  <c r="J70" i="19"/>
  <c r="J69" i="19"/>
  <c r="K67" i="19"/>
  <c r="J67" i="19"/>
  <c r="K59" i="19"/>
  <c r="J59" i="19"/>
  <c r="K58" i="19"/>
  <c r="J58" i="19"/>
  <c r="K57" i="19"/>
  <c r="J57" i="19"/>
  <c r="K56" i="19"/>
  <c r="J56" i="19"/>
  <c r="K55" i="19"/>
  <c r="J55" i="19"/>
  <c r="K54" i="19"/>
  <c r="J54" i="19"/>
  <c r="K53" i="19"/>
  <c r="J53" i="19"/>
  <c r="J42" i="19"/>
  <c r="K46" i="19"/>
  <c r="J46" i="19"/>
  <c r="K45" i="19"/>
  <c r="J45" i="19"/>
  <c r="K44" i="19"/>
  <c r="J44" i="19"/>
  <c r="K43" i="19"/>
  <c r="J43" i="19"/>
  <c r="K41" i="19"/>
  <c r="J41" i="19"/>
  <c r="K40" i="19"/>
  <c r="J40" i="19"/>
  <c r="K39" i="19"/>
  <c r="J39" i="19"/>
  <c r="I54" i="19"/>
  <c r="I55" i="19"/>
  <c r="I56" i="19"/>
  <c r="I57" i="19"/>
  <c r="I58" i="19"/>
  <c r="I40" i="19"/>
  <c r="I41" i="19"/>
  <c r="I43" i="19"/>
  <c r="I44" i="19"/>
  <c r="I15" i="19"/>
  <c r="I19" i="19"/>
  <c r="I21" i="19"/>
  <c r="I22" i="19"/>
  <c r="I23" i="19"/>
  <c r="I24" i="19"/>
  <c r="I25" i="19"/>
  <c r="I26" i="19"/>
  <c r="I27" i="19"/>
  <c r="I28" i="19"/>
  <c r="J15" i="19"/>
  <c r="K15" i="19"/>
  <c r="K16" i="19"/>
  <c r="K42" i="19"/>
  <c r="I42" i="19"/>
  <c r="C73" i="19"/>
  <c r="J73" i="19" s="1"/>
  <c r="I66" i="19"/>
  <c r="D13" i="1"/>
  <c r="D10" i="1"/>
  <c r="H22" i="1"/>
  <c r="H24" i="1" s="1"/>
  <c r="J22" i="1"/>
  <c r="V35" i="20"/>
  <c r="V30" i="20"/>
  <c r="I20" i="20" s="1"/>
  <c r="K30" i="20"/>
  <c r="K29" i="20"/>
  <c r="K28" i="20"/>
  <c r="I28" i="20"/>
  <c r="K27" i="20"/>
  <c r="K26" i="20"/>
  <c r="K25" i="20"/>
  <c r="K24" i="20"/>
  <c r="AL23" i="20"/>
  <c r="AK23" i="20"/>
  <c r="AJ23" i="20"/>
  <c r="K20" i="20"/>
  <c r="K19" i="20"/>
  <c r="K18" i="20"/>
  <c r="K21" i="20" s="1"/>
  <c r="L17" i="20" s="1"/>
  <c r="K14" i="20"/>
  <c r="K13" i="20"/>
  <c r="K15" i="20" s="1"/>
  <c r="L12" i="20" s="1"/>
  <c r="K9" i="20"/>
  <c r="G9" i="20"/>
  <c r="K8" i="20"/>
  <c r="G8" i="20"/>
  <c r="I8" i="20" s="1"/>
  <c r="K7" i="20"/>
  <c r="G7" i="20"/>
  <c r="K6" i="20"/>
  <c r="K10" i="20" s="1"/>
  <c r="L3" i="20" s="1"/>
  <c r="G6" i="20"/>
  <c r="B2" i="20"/>
  <c r="H99" i="19"/>
  <c r="F99" i="19"/>
  <c r="E99" i="19"/>
  <c r="H95" i="19"/>
  <c r="H110" i="19" s="1"/>
  <c r="G95" i="19"/>
  <c r="F95" i="19"/>
  <c r="F110" i="19" s="1"/>
  <c r="E95" i="19"/>
  <c r="E110" i="19" s="1"/>
  <c r="K93" i="19"/>
  <c r="J93" i="19"/>
  <c r="K89" i="19"/>
  <c r="J89" i="19"/>
  <c r="I89" i="19"/>
  <c r="K87" i="19"/>
  <c r="J87" i="19"/>
  <c r="K86" i="19"/>
  <c r="J86" i="19"/>
  <c r="I86" i="19"/>
  <c r="H85" i="19"/>
  <c r="H106" i="19" s="1"/>
  <c r="F85" i="19"/>
  <c r="F106" i="19" s="1"/>
  <c r="E85" i="19"/>
  <c r="I91" i="19"/>
  <c r="I90" i="19"/>
  <c r="I84" i="19"/>
  <c r="I83" i="19"/>
  <c r="I82" i="19"/>
  <c r="K81" i="19"/>
  <c r="J81" i="19"/>
  <c r="I81" i="19"/>
  <c r="G81" i="19"/>
  <c r="G85" i="19" s="1"/>
  <c r="G106" i="19" s="1"/>
  <c r="D80" i="19"/>
  <c r="C80" i="19"/>
  <c r="C85" i="19" s="1"/>
  <c r="C92" i="19" s="1"/>
  <c r="C95" i="19" s="1"/>
  <c r="I79" i="19"/>
  <c r="I78" i="19"/>
  <c r="K77" i="19"/>
  <c r="J77" i="19"/>
  <c r="I77" i="19"/>
  <c r="K76" i="19"/>
  <c r="J76" i="19"/>
  <c r="I76" i="19"/>
  <c r="G76" i="19"/>
  <c r="G99" i="19" s="1"/>
  <c r="K73" i="19"/>
  <c r="H72" i="19"/>
  <c r="H113" i="19" s="1"/>
  <c r="F72" i="19"/>
  <c r="F113" i="19" s="1"/>
  <c r="E72" i="19"/>
  <c r="E113" i="19" s="1"/>
  <c r="I70" i="19"/>
  <c r="I67" i="19"/>
  <c r="K66" i="19"/>
  <c r="J66" i="19"/>
  <c r="K65" i="19"/>
  <c r="J65" i="19"/>
  <c r="I65" i="19"/>
  <c r="K64" i="19"/>
  <c r="J64" i="19"/>
  <c r="I64" i="19"/>
  <c r="G64" i="19"/>
  <c r="G72" i="19" s="1"/>
  <c r="K60" i="19"/>
  <c r="J60" i="19"/>
  <c r="I60" i="19"/>
  <c r="G60" i="19"/>
  <c r="I59" i="19"/>
  <c r="I53" i="19"/>
  <c r="K52" i="19"/>
  <c r="G52" i="19"/>
  <c r="H51" i="19"/>
  <c r="H61" i="19" s="1"/>
  <c r="H121" i="19" s="1"/>
  <c r="F51" i="19"/>
  <c r="F61" i="19" s="1"/>
  <c r="F121" i="19" s="1"/>
  <c r="E51" i="19"/>
  <c r="E61" i="19" s="1"/>
  <c r="E121" i="19" s="1"/>
  <c r="D51" i="19"/>
  <c r="D61" i="19" s="1"/>
  <c r="D62" i="19" s="1"/>
  <c r="H33" i="16" s="1"/>
  <c r="I50" i="19"/>
  <c r="I49" i="19"/>
  <c r="K48" i="19"/>
  <c r="J48" i="19"/>
  <c r="I48" i="19"/>
  <c r="K47" i="19"/>
  <c r="J47" i="19"/>
  <c r="I47" i="19"/>
  <c r="I46" i="19"/>
  <c r="I45" i="19"/>
  <c r="I39" i="19"/>
  <c r="K38" i="19"/>
  <c r="I38" i="19"/>
  <c r="G38" i="19"/>
  <c r="K34" i="19"/>
  <c r="G34" i="19"/>
  <c r="K33" i="19"/>
  <c r="J33" i="19"/>
  <c r="I33" i="19"/>
  <c r="K32" i="19"/>
  <c r="J32" i="19"/>
  <c r="I32" i="19"/>
  <c r="K31" i="19"/>
  <c r="J31" i="19"/>
  <c r="I31" i="19"/>
  <c r="K30" i="19"/>
  <c r="J30" i="19"/>
  <c r="I30" i="19"/>
  <c r="K29" i="19"/>
  <c r="J29" i="19"/>
  <c r="I29" i="19"/>
  <c r="J28" i="19"/>
  <c r="K28" i="19"/>
  <c r="K27" i="19"/>
  <c r="J27" i="19"/>
  <c r="K26" i="19"/>
  <c r="J26" i="19"/>
  <c r="K25" i="19"/>
  <c r="J25" i="19"/>
  <c r="K24" i="19"/>
  <c r="J24" i="19"/>
  <c r="K23" i="19"/>
  <c r="J23" i="19"/>
  <c r="K22" i="19"/>
  <c r="J22" i="19"/>
  <c r="K21" i="19"/>
  <c r="J21" i="19"/>
  <c r="G21" i="19"/>
  <c r="H20" i="19"/>
  <c r="F20" i="19"/>
  <c r="E20" i="19"/>
  <c r="K19" i="19"/>
  <c r="J19" i="19"/>
  <c r="K18" i="19"/>
  <c r="J18" i="19"/>
  <c r="K17" i="19"/>
  <c r="I17" i="19"/>
  <c r="J16" i="19"/>
  <c r="K14" i="19"/>
  <c r="J14" i="19"/>
  <c r="I14" i="19"/>
  <c r="K13" i="19"/>
  <c r="J13" i="19"/>
  <c r="I13" i="19"/>
  <c r="G13" i="19"/>
  <c r="K12" i="19"/>
  <c r="J12" i="19"/>
  <c r="I12" i="19"/>
  <c r="G12" i="19"/>
  <c r="G20" i="19" s="1"/>
  <c r="H8" i="18"/>
  <c r="K35" i="17"/>
  <c r="M35" i="17" s="1"/>
  <c r="K33" i="17"/>
  <c r="M33" i="17" s="1"/>
  <c r="K31" i="17"/>
  <c r="M31" i="17" s="1"/>
  <c r="K29" i="17"/>
  <c r="M29" i="17" s="1"/>
  <c r="M27" i="17"/>
  <c r="K27" i="17"/>
  <c r="K25" i="17"/>
  <c r="M25" i="17" s="1"/>
  <c r="M23" i="17"/>
  <c r="K23" i="17"/>
  <c r="K21" i="17"/>
  <c r="M21" i="17" s="1"/>
  <c r="K19" i="17"/>
  <c r="M19" i="17" s="1"/>
  <c r="K17" i="17"/>
  <c r="M17" i="17" s="1"/>
  <c r="K15" i="17"/>
  <c r="M15" i="17" s="1"/>
  <c r="K13" i="17"/>
  <c r="M13" i="17" s="1"/>
  <c r="K11" i="17"/>
  <c r="M11" i="17" s="1"/>
  <c r="K9" i="17"/>
  <c r="M9" i="17" s="1"/>
  <c r="M7" i="17"/>
  <c r="K37" i="17" s="1"/>
  <c r="K7" i="17"/>
  <c r="C4" i="17"/>
  <c r="G4" i="17" s="1"/>
  <c r="K4" i="17" s="1"/>
  <c r="H53" i="16"/>
  <c r="I53" i="16" s="1"/>
  <c r="F53" i="16"/>
  <c r="H51" i="16"/>
  <c r="I51" i="16" s="1"/>
  <c r="F51" i="16"/>
  <c r="I49" i="16"/>
  <c r="G49" i="16"/>
  <c r="F41" i="16"/>
  <c r="C21" i="17" s="1"/>
  <c r="E21" i="17" s="1"/>
  <c r="H37" i="16"/>
  <c r="F37" i="16"/>
  <c r="H27" i="16"/>
  <c r="I27" i="16" s="1"/>
  <c r="F27" i="16"/>
  <c r="H25" i="16"/>
  <c r="I25" i="16" s="1"/>
  <c r="F25" i="16"/>
  <c r="H23" i="16"/>
  <c r="I23" i="16" s="1"/>
  <c r="F23" i="16"/>
  <c r="H19" i="16"/>
  <c r="I19" i="16" s="1"/>
  <c r="F19" i="16"/>
  <c r="H17" i="16"/>
  <c r="J8" i="18" s="1"/>
  <c r="J11" i="16"/>
  <c r="F9" i="16"/>
  <c r="F5" i="16"/>
  <c r="C2" i="17" s="1"/>
  <c r="D99" i="19" l="1"/>
  <c r="D85" i="19"/>
  <c r="D92" i="19" s="1"/>
  <c r="D95" i="19" s="1"/>
  <c r="F39" i="16"/>
  <c r="I71" i="19"/>
  <c r="C110" i="19"/>
  <c r="H41" i="16"/>
  <c r="I41" i="16" s="1"/>
  <c r="I69" i="19"/>
  <c r="I88" i="19"/>
  <c r="K69" i="19"/>
  <c r="K72" i="19" s="1"/>
  <c r="C72" i="19"/>
  <c r="F31" i="16" s="1"/>
  <c r="C17" i="17" s="1"/>
  <c r="E17" i="17" s="1"/>
  <c r="E104" i="19"/>
  <c r="J71" i="19"/>
  <c r="I16" i="19"/>
  <c r="C51" i="19"/>
  <c r="F35" i="16" s="1"/>
  <c r="I18" i="19"/>
  <c r="J17" i="19"/>
  <c r="J20" i="19" s="1"/>
  <c r="F104" i="19"/>
  <c r="K51" i="19"/>
  <c r="K61" i="19" s="1"/>
  <c r="J38" i="19"/>
  <c r="J51" i="19" s="1"/>
  <c r="I52" i="19"/>
  <c r="J52" i="19"/>
  <c r="G23" i="16"/>
  <c r="G27" i="16"/>
  <c r="H105" i="19"/>
  <c r="D72" i="19"/>
  <c r="C13" i="17"/>
  <c r="E13" i="17" s="1"/>
  <c r="H35" i="16"/>
  <c r="I35" i="16" s="1"/>
  <c r="H108" i="19"/>
  <c r="H109" i="19" s="1"/>
  <c r="E35" i="19"/>
  <c r="E112" i="19" s="1"/>
  <c r="I87" i="19"/>
  <c r="H100" i="19"/>
  <c r="I80" i="19"/>
  <c r="C20" i="19"/>
  <c r="C130" i="19" s="1"/>
  <c r="J80" i="19"/>
  <c r="G51" i="16"/>
  <c r="J72" i="19"/>
  <c r="I9" i="20"/>
  <c r="I14" i="20"/>
  <c r="O12" i="20"/>
  <c r="I18" i="20"/>
  <c r="G19" i="16"/>
  <c r="C33" i="17"/>
  <c r="E33" i="17" s="1"/>
  <c r="G53" i="16"/>
  <c r="G13" i="17"/>
  <c r="I13" i="17" s="1"/>
  <c r="G19" i="17"/>
  <c r="I19" i="17" s="1"/>
  <c r="I33" i="16"/>
  <c r="C11" i="17"/>
  <c r="E11" i="17" s="1"/>
  <c r="G25" i="16"/>
  <c r="G37" i="16"/>
  <c r="K20" i="19"/>
  <c r="K35" i="19" s="1"/>
  <c r="D121" i="19"/>
  <c r="G110" i="19"/>
  <c r="G108" i="19"/>
  <c r="G109" i="19" s="1"/>
  <c r="G100" i="19"/>
  <c r="K31" i="20"/>
  <c r="K33" i="20" s="1"/>
  <c r="I29" i="20"/>
  <c r="H28" i="20"/>
  <c r="I26" i="20"/>
  <c r="I24" i="20"/>
  <c r="O13" i="20"/>
  <c r="I30" i="20"/>
  <c r="H29" i="20"/>
  <c r="I19" i="20"/>
  <c r="H30" i="20"/>
  <c r="I27" i="20"/>
  <c r="I25" i="20"/>
  <c r="I13" i="20"/>
  <c r="E106" i="19"/>
  <c r="G11" i="17"/>
  <c r="I11" i="17" s="1"/>
  <c r="J17" i="16"/>
  <c r="I37" i="16"/>
  <c r="G33" i="17"/>
  <c r="I33" i="17" s="1"/>
  <c r="D20" i="19"/>
  <c r="H35" i="19"/>
  <c r="H104" i="19"/>
  <c r="G113" i="19"/>
  <c r="G51" i="19"/>
  <c r="G105" i="19" s="1"/>
  <c r="C106" i="19"/>
  <c r="J85" i="19"/>
  <c r="I7" i="20"/>
  <c r="F35" i="19"/>
  <c r="F120" i="19" s="1"/>
  <c r="K80" i="19"/>
  <c r="I93" i="19"/>
  <c r="C99" i="19"/>
  <c r="E100" i="19"/>
  <c r="E105" i="19"/>
  <c r="E108" i="19"/>
  <c r="E109" i="19" s="1"/>
  <c r="G35" i="19"/>
  <c r="G119" i="19" s="1"/>
  <c r="F100" i="19"/>
  <c r="F105" i="19"/>
  <c r="F108" i="19"/>
  <c r="F109" i="19" s="1"/>
  <c r="N114" i="1"/>
  <c r="L114" i="1"/>
  <c r="J114" i="1"/>
  <c r="B112" i="1"/>
  <c r="C129" i="19" l="1"/>
  <c r="C35" i="19"/>
  <c r="C101" i="19" s="1"/>
  <c r="C128" i="19"/>
  <c r="C127" i="19"/>
  <c r="G41" i="16"/>
  <c r="K85" i="19"/>
  <c r="I72" i="19"/>
  <c r="C113" i="19"/>
  <c r="G21" i="17"/>
  <c r="I21" i="17" s="1"/>
  <c r="C61" i="19"/>
  <c r="C74" i="19" s="1"/>
  <c r="I51" i="19"/>
  <c r="I85" i="19"/>
  <c r="J61" i="19"/>
  <c r="F21" i="16"/>
  <c r="C7" i="17" s="1"/>
  <c r="E7" i="17" s="1"/>
  <c r="I20" i="19"/>
  <c r="E118" i="19"/>
  <c r="E123" i="19" s="1"/>
  <c r="E119" i="19"/>
  <c r="C105" i="19"/>
  <c r="D74" i="19"/>
  <c r="E122" i="19"/>
  <c r="H31" i="16"/>
  <c r="G17" i="17" s="1"/>
  <c r="I17" i="17" s="1"/>
  <c r="G35" i="16"/>
  <c r="E120" i="19"/>
  <c r="C104" i="19"/>
  <c r="D113" i="19"/>
  <c r="D106" i="19"/>
  <c r="H39" i="16"/>
  <c r="G120" i="19"/>
  <c r="L23" i="20"/>
  <c r="F43" i="16"/>
  <c r="C108" i="19"/>
  <c r="C109" i="19" s="1"/>
  <c r="J92" i="19"/>
  <c r="J95" i="19" s="1"/>
  <c r="H119" i="19"/>
  <c r="H112" i="19"/>
  <c r="H122" i="19"/>
  <c r="H118" i="19"/>
  <c r="H123" i="19" s="1"/>
  <c r="G122" i="19"/>
  <c r="G61" i="19"/>
  <c r="G121" i="19" s="1"/>
  <c r="G118" i="19"/>
  <c r="G123" i="19" s="1"/>
  <c r="F122" i="19"/>
  <c r="F119" i="19"/>
  <c r="F112" i="19"/>
  <c r="D35" i="19"/>
  <c r="D104" i="19"/>
  <c r="H21" i="16"/>
  <c r="D105" i="19"/>
  <c r="H120" i="19"/>
  <c r="G104" i="19"/>
  <c r="G112" i="19"/>
  <c r="F118" i="19"/>
  <c r="F123" i="19" s="1"/>
  <c r="H83" i="1"/>
  <c r="N124" i="1"/>
  <c r="O124" i="1" s="1"/>
  <c r="N123" i="1"/>
  <c r="O123" i="1" s="1"/>
  <c r="N122" i="1"/>
  <c r="O122" i="1" s="1"/>
  <c r="N121" i="1"/>
  <c r="O121" i="1" s="1"/>
  <c r="O117" i="1"/>
  <c r="D115" i="19" l="1"/>
  <c r="D101" i="19"/>
  <c r="C118" i="19"/>
  <c r="I92" i="19"/>
  <c r="H43" i="16"/>
  <c r="G43" i="16" s="1"/>
  <c r="C9" i="17"/>
  <c r="E9" i="17" s="1"/>
  <c r="K92" i="19"/>
  <c r="K95" i="19" s="1"/>
  <c r="I61" i="19"/>
  <c r="C62" i="19"/>
  <c r="I62" i="19" s="1"/>
  <c r="C121" i="19"/>
  <c r="C115" i="19"/>
  <c r="C119" i="19"/>
  <c r="C122" i="19"/>
  <c r="C120" i="19"/>
  <c r="F29" i="16"/>
  <c r="C27" i="17" s="1"/>
  <c r="C112" i="19"/>
  <c r="G31" i="16"/>
  <c r="I31" i="16"/>
  <c r="G39" i="16"/>
  <c r="I39" i="16"/>
  <c r="D119" i="19"/>
  <c r="D112" i="19"/>
  <c r="D122" i="19"/>
  <c r="C34" i="19"/>
  <c r="H29" i="16"/>
  <c r="D120" i="19"/>
  <c r="C102" i="19"/>
  <c r="C100" i="19"/>
  <c r="F45" i="16"/>
  <c r="C29" i="17"/>
  <c r="E29" i="17" s="1"/>
  <c r="G7" i="17"/>
  <c r="I7" i="17" s="1"/>
  <c r="I21" i="16"/>
  <c r="G9" i="17"/>
  <c r="I9" i="17" s="1"/>
  <c r="G21" i="16"/>
  <c r="I35" i="19"/>
  <c r="D118" i="19"/>
  <c r="C71" i="3"/>
  <c r="C69" i="3"/>
  <c r="C67" i="3"/>
  <c r="C66" i="3"/>
  <c r="C65" i="3"/>
  <c r="C61" i="3"/>
  <c r="C59" i="3"/>
  <c r="C58" i="3"/>
  <c r="C57" i="3"/>
  <c r="C53" i="3"/>
  <c r="C50" i="3"/>
  <c r="C49" i="3"/>
  <c r="C31" i="17" l="1"/>
  <c r="E31" i="17" s="1"/>
  <c r="G29" i="17"/>
  <c r="I29" i="17" s="1"/>
  <c r="I43" i="16"/>
  <c r="G31" i="17"/>
  <c r="I31" i="17" s="1"/>
  <c r="F33" i="16"/>
  <c r="C19" i="17" s="1"/>
  <c r="E19" i="17" s="1"/>
  <c r="G29" i="16"/>
  <c r="C123" i="19"/>
  <c r="C114" i="19" s="1"/>
  <c r="H9" i="18"/>
  <c r="A14" i="18" s="1"/>
  <c r="E27" i="17"/>
  <c r="C15" i="17"/>
  <c r="E15" i="17" s="1"/>
  <c r="D123" i="19"/>
  <c r="D114" i="19" s="1"/>
  <c r="J9" i="18"/>
  <c r="I34" i="19"/>
  <c r="J34" i="19"/>
  <c r="J35" i="19" s="1"/>
  <c r="F47" i="16"/>
  <c r="I29" i="16"/>
  <c r="I27" i="17"/>
  <c r="G15" i="17"/>
  <c r="I15" i="17" s="1"/>
  <c r="G27" i="17"/>
  <c r="C70" i="3"/>
  <c r="G33" i="16" l="1"/>
  <c r="C25" i="17"/>
  <c r="E25" i="17" s="1"/>
  <c r="C23" i="17"/>
  <c r="E23" i="17"/>
  <c r="C51" i="3"/>
  <c r="N117" i="1" l="1"/>
  <c r="B111" i="2"/>
  <c r="B110" i="2"/>
  <c r="B109" i="2"/>
  <c r="B108" i="2"/>
  <c r="F118" i="1"/>
  <c r="C55" i="3" l="1"/>
  <c r="C54" i="3"/>
  <c r="C62" i="3"/>
  <c r="C63" i="3"/>
  <c r="N95" i="1"/>
  <c r="L95" i="1"/>
  <c r="J95" i="1"/>
  <c r="N86" i="1"/>
  <c r="L86" i="1"/>
  <c r="J86" i="1"/>
  <c r="H95" i="1"/>
  <c r="H86" i="1"/>
  <c r="B108" i="1" l="1"/>
  <c r="H30" i="1"/>
  <c r="H27" i="1"/>
  <c r="N22" i="1"/>
  <c r="L22" i="1"/>
  <c r="J24" i="1"/>
  <c r="H20" i="1" l="1"/>
  <c r="L20" i="1" s="1"/>
  <c r="F41" i="3"/>
  <c r="F40" i="3"/>
  <c r="F39" i="3"/>
  <c r="F38" i="3"/>
  <c r="C41" i="3"/>
  <c r="C40" i="3"/>
  <c r="C39" i="3"/>
  <c r="C38" i="3"/>
  <c r="J20" i="1" l="1"/>
  <c r="N20" i="1"/>
  <c r="L30" i="1"/>
  <c r="N27" i="1"/>
  <c r="C18" i="3" l="1"/>
  <c r="C20" i="3"/>
  <c r="C17" i="3"/>
  <c r="C19" i="3"/>
  <c r="L27" i="1"/>
  <c r="J27" i="1"/>
  <c r="J30" i="1"/>
  <c r="N30" i="1"/>
  <c r="J29" i="1" l="1"/>
  <c r="L29" i="1" s="1"/>
  <c r="N29" i="1" s="1"/>
  <c r="B5" i="5" l="1"/>
  <c r="B2" i="5"/>
  <c r="B9" i="5"/>
  <c r="B12" i="5" s="1"/>
  <c r="H68" i="1" l="1"/>
  <c r="H66" i="1"/>
  <c r="H64" i="1"/>
  <c r="H62" i="1"/>
  <c r="H60" i="1"/>
  <c r="H58" i="1"/>
  <c r="H56" i="1"/>
  <c r="H54" i="1"/>
  <c r="H52" i="1"/>
  <c r="H48" i="1"/>
  <c r="H46" i="1"/>
  <c r="H44" i="1"/>
  <c r="H42" i="1"/>
  <c r="E12" i="3" l="1"/>
  <c r="E11" i="3"/>
  <c r="E10" i="3"/>
  <c r="E9" i="3"/>
  <c r="B32" i="3" l="1"/>
  <c r="B31" i="3"/>
  <c r="B30" i="3"/>
  <c r="B29" i="3"/>
  <c r="B28" i="3"/>
  <c r="B27" i="3"/>
  <c r="B26" i="3"/>
  <c r="L24" i="1" l="1"/>
  <c r="N24" i="1"/>
  <c r="B12" i="3"/>
  <c r="G12" i="3" s="1"/>
  <c r="B11" i="3"/>
  <c r="G11" i="3" s="1"/>
  <c r="B10" i="3"/>
  <c r="G10" i="3" s="1"/>
  <c r="B9" i="3"/>
  <c r="B8" i="3"/>
  <c r="G8" i="3" s="1"/>
  <c r="D57" i="3" l="1"/>
  <c r="D61" i="3"/>
  <c r="D66" i="3"/>
  <c r="D71" i="3"/>
  <c r="D58" i="3"/>
  <c r="D62" i="3"/>
  <c r="D67" i="3"/>
  <c r="D53" i="3"/>
  <c r="D59" i="3"/>
  <c r="D63" i="3"/>
  <c r="D69" i="3"/>
  <c r="D54" i="3"/>
  <c r="D55" i="3"/>
  <c r="D65" i="3"/>
  <c r="D70" i="3"/>
  <c r="D50" i="3"/>
  <c r="D51" i="3"/>
  <c r="D49" i="3"/>
  <c r="H50" i="1"/>
  <c r="G9" i="3"/>
  <c r="H8" i="3"/>
  <c r="D8" i="3" s="1"/>
  <c r="H10" i="3"/>
  <c r="D10" i="3" s="1"/>
  <c r="H12" i="3"/>
  <c r="D12" i="3" s="1"/>
  <c r="H11" i="3"/>
  <c r="D11" i="3" s="1"/>
  <c r="N32" i="1"/>
  <c r="L32" i="1"/>
  <c r="J32" i="1"/>
  <c r="H32" i="1"/>
  <c r="C29" i="1"/>
  <c r="C32" i="1"/>
  <c r="H33" i="1" l="1"/>
  <c r="J33" i="1" s="1"/>
  <c r="L33" i="1" s="1"/>
  <c r="N33" i="1" s="1"/>
  <c r="H9" i="3"/>
  <c r="D9" i="3" s="1"/>
  <c r="J37" i="1" l="1"/>
  <c r="J36" i="1" s="1"/>
  <c r="J76" i="1" s="1"/>
  <c r="N37" i="1"/>
  <c r="N36" i="1" s="1"/>
  <c r="N76" i="1" s="1"/>
  <c r="L37" i="1"/>
  <c r="L36" i="1" s="1"/>
  <c r="L76" i="1" s="1"/>
  <c r="H37" i="1"/>
  <c r="H36" i="1" s="1"/>
  <c r="H76" i="1" s="1"/>
  <c r="N71" i="1" l="1"/>
  <c r="L71" i="1"/>
  <c r="L80" i="1" s="1"/>
  <c r="J71" i="1"/>
  <c r="J80" i="1" s="1"/>
  <c r="H71" i="1"/>
  <c r="H80" i="1" s="1"/>
  <c r="N80" i="1"/>
  <c r="H98" i="1" l="1"/>
  <c r="H89" i="1"/>
  <c r="J89" i="1"/>
  <c r="J98" i="1"/>
  <c r="N89" i="1"/>
  <c r="N98" i="1"/>
  <c r="L89" i="1"/>
  <c r="L98" i="1"/>
  <c r="N106" i="1" l="1"/>
  <c r="N108" i="1" s="1"/>
  <c r="N104" i="1" s="1"/>
  <c r="H106" i="1"/>
  <c r="H108" i="1" s="1"/>
  <c r="H102" i="1" s="1"/>
  <c r="H114" i="1" s="1"/>
  <c r="L106" i="1"/>
  <c r="L108" i="1" s="1"/>
  <c r="L104" i="1" s="1"/>
  <c r="J106" i="1"/>
  <c r="J108" i="1" s="1"/>
  <c r="J104" i="1" s="1"/>
  <c r="N120" i="1"/>
  <c r="O120" i="1" s="1"/>
  <c r="N119" i="1"/>
  <c r="O119" i="1" s="1"/>
  <c r="L102" i="1" l="1"/>
  <c r="L110" i="1" s="1"/>
  <c r="N102" i="1"/>
  <c r="N110" i="1" s="1"/>
  <c r="H104" i="1"/>
  <c r="H110" i="1"/>
  <c r="J102" i="1"/>
  <c r="J110" i="1" s="1"/>
  <c r="D108" i="19"/>
  <c r="D109" i="19" s="1"/>
  <c r="D102" i="19"/>
  <c r="D110" i="19"/>
  <c r="D100" i="19"/>
  <c r="I95" i="19"/>
  <c r="H45" i="16"/>
  <c r="G45" i="16" s="1"/>
  <c r="H47" i="16" l="1"/>
  <c r="I45" i="16"/>
  <c r="I47" i="16" l="1"/>
  <c r="I23" i="17"/>
  <c r="G23" i="17"/>
  <c r="C35" i="17"/>
  <c r="E35" i="17" s="1"/>
  <c r="C37" i="17" s="1"/>
  <c r="A12" i="18" s="1"/>
  <c r="G47" i="16"/>
  <c r="G25" i="17"/>
  <c r="I25" i="17" s="1"/>
  <c r="G37" i="17" s="1"/>
  <c r="H55" i="16" s="1"/>
  <c r="G35" i="17"/>
  <c r="I35" i="17" s="1"/>
  <c r="F55" i="16" l="1"/>
  <c r="E57" i="16" s="1"/>
  <c r="A11" i="18"/>
  <c r="A10" i="18"/>
  <c r="A13" i="18"/>
  <c r="A9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P100127</author>
  </authors>
  <commentList>
    <comment ref="F3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P100127:</t>
        </r>
        <r>
          <rPr>
            <sz val="8"/>
            <color indexed="81"/>
            <rFont val="Tahoma"/>
            <family val="2"/>
          </rPr>
          <t xml:space="preserve">
= 15% of total loans + total assets- total loans</t>
        </r>
      </text>
    </comment>
    <comment ref="G106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P100127:</t>
        </r>
        <r>
          <rPr>
            <sz val="8"/>
            <color indexed="81"/>
            <rFont val="Tahoma"/>
            <family val="2"/>
          </rPr>
          <t xml:space="preserve">
factor of allocated capital (as per AM Best - casualty fac) = 0.7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OhCaroline</author>
    <author>tc={E9E0749D-F680-461D-ADFC-E73088418F5E}</author>
  </authors>
  <commentList>
    <comment ref="B31" authorId="0" shapeId="0" xr:uid="{BCCADD8C-4C20-4265-A6A1-6B9BD5D13F6A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If current year suffers a loss then to minus the loss unless accumulated deficit already subtracted.</t>
        </r>
      </text>
    </comment>
    <comment ref="B41" authorId="0" shapeId="0" xr:uid="{96B2627A-7C5D-43C4-A96D-9FA153EE7722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Interest income+dividends-interest expense</t>
        </r>
      </text>
    </comment>
    <comment ref="B49" authorId="1" shapeId="0" xr:uid="{E9E0749D-F680-461D-ADFC-E73088418F5E}">
      <text>
        <t>[Threaded comment]
Your version of Excel allows you to read this threaded comment; however, any edits to it will get removed if the file is opened in a newer version of Excel. Learn more: https://go.microsoft.com/fwlink/?linkid=870924
Comment:
    Net Cash from Operating Activities - PPE acquisition - loan repayment - dividend payment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OhCaroline</author>
  </authors>
  <commentList>
    <comment ref="B15" authorId="0" shapeId="0" xr:uid="{A4475096-BBD3-4A92-8172-B9DFD860633F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40%-50% - good
</t>
        </r>
      </text>
    </comment>
    <comment ref="B19" authorId="0" shapeId="0" xr:uid="{F94AE45A-A055-4D41-B809-E2EAEE299508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LT - cash / non-current assets</t>
        </r>
      </text>
    </comment>
    <comment ref="B21" authorId="0" shapeId="0" xr:uid="{8D76E25E-073F-4BAC-AFEF-F4586F72B01F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compare with earnings</t>
        </r>
      </text>
    </comment>
    <comment ref="B25" authorId="0" shapeId="0" xr:uid="{F2CC5C7C-A89C-40FA-A2EF-56AC70745C86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large companies &lt;5%</t>
        </r>
      </text>
    </comment>
    <comment ref="B27" authorId="0" shapeId="0" xr:uid="{320BC875-B24D-4EC6-9726-75E2D84379B7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1.0&lt;&gt;2.5</t>
        </r>
      </text>
    </comment>
    <comment ref="B29" authorId="0" shapeId="0" xr:uid="{9F3A90A8-FCD8-4582-835E-98BF96360107}">
      <text>
        <r>
          <rPr>
            <b/>
            <sz val="8"/>
            <color indexed="81"/>
            <rFont val="Tahoma"/>
            <family val="2"/>
          </rPr>
          <t>OhCaroline:</t>
        </r>
        <r>
          <rPr>
            <sz val="8"/>
            <color indexed="81"/>
            <rFont val="Tahoma"/>
            <family val="2"/>
          </rPr>
          <t xml:space="preserve">
Gross profit margin; large companies &lt;5%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KLFSPKKW</author>
    <author>tc={D3988D9E-8FDA-44A4-BD35-83AE8D21AF33}</author>
    <author>tc={D5F225CD-CB1F-47D6-B2AC-0E7EE62C7C4B}</author>
    <author>NUR AISYAH SABRINA KONG ABDULLAH</author>
  </authors>
  <commentList>
    <comment ref="B5" authorId="0" shapeId="0" xr:uid="{8D569C22-80F5-44A7-8A11-7B8125A104F9}">
      <text>
        <r>
          <rPr>
            <b/>
            <sz val="8"/>
            <color rgb="FF000000"/>
            <rFont val="Tahoma"/>
            <family val="2"/>
          </rPr>
          <t xml:space="preserve">KLFSPKKW:
</t>
        </r>
        <r>
          <rPr>
            <sz val="8"/>
            <color rgb="FF000000"/>
            <rFont val="Tahoma"/>
            <family val="2"/>
          </rPr>
          <t>You can just use the latest clossing price and prior year ended clossing price</t>
        </r>
      </text>
    </comment>
    <comment ref="C5" authorId="1" shapeId="0" xr:uid="{D3988D9E-8FDA-44A4-BD35-83AE8D21AF33}">
      <text>
        <t>[Threaded comment]
Your version of Excel allows you to read this threaded comment; however, any edits to it will get removed if the file is opened in a newer version of Excel. Learn more: https://go.microsoft.com/fwlink/?linkid=870924
Comment:
    as at 23 Nov 2020</t>
      </text>
    </comment>
    <comment ref="B6" authorId="0" shapeId="0" xr:uid="{4B69AA7E-2747-481D-BA5D-590B161CD914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You can get this in the annual report under "Director's Report" section</t>
        </r>
      </text>
    </comment>
    <comment ref="B38" authorId="0" shapeId="0" xr:uid="{77F0A7C4-A67E-44BC-9505-A3DE86B453A2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All external interest bearing borrowing</t>
        </r>
      </text>
    </comment>
    <comment ref="B42" authorId="0" shapeId="0" xr:uid="{C34DDB3E-9BB7-469A-8210-DE0457B30B5B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Separate Trade &amp; Other payable for better understanding</t>
        </r>
      </text>
    </comment>
    <comment ref="B52" authorId="0" shapeId="0" xr:uid="{C5428924-E6AA-476B-A238-79C1C7D6AB07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All external interest bearing borrowing</t>
        </r>
      </text>
    </comment>
    <comment ref="B66" authorId="0" shapeId="0" xr:uid="{06669C0F-FF4D-40F6-8CFC-7EE2B4FAFD81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Usual items are FOREX reverse, revaluation reserve etc.</t>
        </r>
      </text>
    </comment>
    <comment ref="B67" authorId="0" shapeId="0" xr:uid="{D398C853-B100-4F29-8852-6AB4F2A63FED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Distributable reserve, ie the net profit accumulated over the year</t>
        </r>
      </text>
    </comment>
    <comment ref="B88" authorId="0" shapeId="0" xr:uid="{C89CDEB6-206F-480A-B125-7EAAE20DC5D2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Separate the interest income and interest expense</t>
        </r>
      </text>
    </comment>
    <comment ref="B92" authorId="0" shapeId="0" xr:uid="{EAAC4C5B-CE95-4ACD-9536-48F98D8A272A}">
      <text>
        <r>
          <rPr>
            <b/>
            <sz val="8"/>
            <color rgb="FF000000"/>
            <rFont val="Tahoma"/>
            <family val="2"/>
          </rPr>
          <t>KLFSPKKW:</t>
        </r>
        <r>
          <rPr>
            <sz val="8"/>
            <color rgb="FF000000"/>
            <rFont val="Tahoma"/>
            <family val="2"/>
          </rPr>
          <t xml:space="preserve">
Separate the interest income and interest expense</t>
        </r>
      </text>
    </comment>
    <comment ref="B95" authorId="2" shapeId="0" xr:uid="{D5F225CD-CB1F-47D6-B2AC-0E7EE62C7C4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Net Income less zakat/tax less Minority Interest
</t>
      </text>
    </comment>
    <comment ref="B126" authorId="3" shapeId="0" xr:uid="{C33829DB-BF22-44F4-9FD2-D623AC948932}">
      <text>
        <r>
          <rPr>
            <b/>
            <sz val="9"/>
            <color indexed="81"/>
            <rFont val="Tahoma"/>
            <family val="2"/>
          </rPr>
          <t>NUR AISYAH SABRINA KONG ABDULLAH:</t>
        </r>
        <r>
          <rPr>
            <sz val="9"/>
            <color indexed="81"/>
            <rFont val="Tahoma"/>
            <family val="2"/>
          </rPr>
          <t xml:space="preserve">
Adjusted Working Capital = Accounts Receivable + Inventory – Accounts Payable – Accrued Operating Liabilities
** Cash &amp; cash equivalens will not be included </t>
        </r>
      </text>
    </comment>
    <comment ref="B127" authorId="3" shapeId="0" xr:uid="{78AD70C4-B417-414E-8CE0-93F76788341A}">
      <text>
        <r>
          <rPr>
            <b/>
            <sz val="9"/>
            <color indexed="81"/>
            <rFont val="Tahoma"/>
            <family val="2"/>
          </rPr>
          <t>NUR AISYAH SABRINA KONG ABDULLAH:</t>
        </r>
        <r>
          <rPr>
            <sz val="9"/>
            <color indexed="81"/>
            <rFont val="Tahoma"/>
            <family val="2"/>
          </rPr>
          <t xml:space="preserve">
It does not represent the complete picture of the company’s liquidity and solvency position.  Hence, it is not of much significance. However, analyzing the company’s Net-working capital is of great importance as it signals the ability of the company to meet its short-term financial obligations.</t>
        </r>
      </text>
    </comment>
    <comment ref="C128" authorId="3" shapeId="0" xr:uid="{4C56CCB6-6400-4844-B137-D0AF6AA544EB}">
      <text>
        <r>
          <rPr>
            <b/>
            <sz val="9"/>
            <color indexed="81"/>
            <rFont val="Tahoma"/>
            <family val="2"/>
          </rPr>
          <t>NUR AISYAH SABRINA KONG ABDULLAH:</t>
        </r>
        <r>
          <rPr>
            <sz val="9"/>
            <color indexed="81"/>
            <rFont val="Tahoma"/>
            <family val="2"/>
          </rPr>
          <t xml:space="preserve">
Negative Working Capital Examples
The industries which are primarily expected to have negative working capital and don’t pose a serious risk are
Retailers
Restaurants
Grocery Stores
FMCG
Any industry that makes money through cash when it sells a product/service will have money at its hand. So it can pay back its supplier through a credit period and create a chain. The companies which have a higher credit period for their receivables may not be able to justify the negative working capital that is good for them.</t>
        </r>
      </text>
    </comment>
    <comment ref="C130" authorId="3" shapeId="0" xr:uid="{CACFC5FF-8DC6-4AE2-B464-3D6C9F806275}">
      <text>
        <r>
          <rPr>
            <b/>
            <sz val="9"/>
            <color indexed="81"/>
            <rFont val="Tahoma"/>
            <family val="2"/>
          </rPr>
          <t>NUR AISYAH SABRINA KONG ABDULLAH:</t>
        </r>
        <r>
          <rPr>
            <sz val="9"/>
            <color indexed="81"/>
            <rFont val="Tahoma"/>
            <family val="2"/>
          </rPr>
          <t xml:space="preserve">
Generally speaking, it can be interpreted as follows:
If this ratio is around 1.2 to 1.8 – This is generally said to be a balanced ratio, and it is assumed that the company is in a healthy state to pay its liabilities.
If it is less than 1 – It is known as negative working capital, which generally means that the company cannot pay its liabilities. A consistently negative working capital may also lead to bankruptcy(Detailed explanation is given in a later segment)
If this ratio is greater than 2 – the Company may have excess and idle funds that are not utilized well. It should not be the case as the opportunity cost of idle funds is also high.
https://www.wallstreetmojo.com/working-capital-ratio/#h-formula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P100127</author>
  </authors>
  <commentList>
    <comment ref="C16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P100127:</t>
        </r>
        <r>
          <rPr>
            <sz val="8"/>
            <color indexed="81"/>
            <rFont val="Tahoma"/>
            <family val="2"/>
          </rPr>
          <t xml:space="preserve">
Quoted from wiki (http://wiki.ratemaking.org/index.php?title=Increased_Limit_Factors): 
“An alternative formulation of ILFs is the Reibsell approach when a simple rule is used to generate ILFs, based on a constant relationship between doubling the limit and the increase in premium. This allows for a simple formula (based on log base 2) which can be used to generate ILFs”.</t>
        </r>
      </text>
    </comment>
    <comment ref="C37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P100127:</t>
        </r>
        <r>
          <rPr>
            <sz val="8"/>
            <color indexed="81"/>
            <rFont val="Tahoma"/>
            <family val="2"/>
          </rPr>
          <t xml:space="preserve">
Quoted from wiki (http://wiki.ratemaking.org/index.php?title=Increased_Limit_Factors): 
“An alternative formulation of ILFs is the Reibsell approach when a simple rule is used to generate ILFs, based on a constant relationship between doubling the limit and the increase in premium. This allows for a simple formula (based on log base 2) which can be used to generate ILFs”.</t>
        </r>
      </text>
    </comment>
    <comment ref="F37" authorId="0" shapeId="0" xr:uid="{00000000-0006-0000-0400-000003000000}">
      <text>
        <r>
          <rPr>
            <b/>
            <sz val="8"/>
            <color rgb="FF000000"/>
            <rFont val="Tahoma"/>
            <family val="2"/>
          </rPr>
          <t>P100127: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Quoted from wiki (http://wiki.ratemaking.org/index.php?title=Increased_Limit_Factors): 
</t>
        </r>
        <r>
          <rPr>
            <sz val="8"/>
            <color rgb="FF000000"/>
            <rFont val="Tahoma"/>
            <family val="2"/>
          </rPr>
          <t>“An alternative formulation of ILFs is the Reibsell approach when a simple rule is used to generate ILFs, based on a constant relationship between doubling the limit and the increase in premium. This allows for a simple formula (based on log base 2) which can be used to generate ILFs”.</t>
        </r>
      </text>
    </comment>
    <comment ref="C46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P100127:</t>
        </r>
        <r>
          <rPr>
            <sz val="8"/>
            <color indexed="81"/>
            <rFont val="Tahoma"/>
            <family val="2"/>
          </rPr>
          <t xml:space="preserve">
Quoted from wiki (http://wiki.ratemaking.org/index.php?title=Increased_Limit_Factors): 
“An alternative formulation of ILFs is the Reibsell approach when a simple rule is used to generate ILFs, based on a constant relationship between doubling the limit and the increase in premium. This allows for a simple formula (based on log base 2) which can be used to generate ILFs”.</t>
        </r>
      </text>
    </comment>
    <comment ref="D46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P100127:</t>
        </r>
        <r>
          <rPr>
            <sz val="8"/>
            <color indexed="81"/>
            <rFont val="Tahoma"/>
            <family val="2"/>
          </rPr>
          <t xml:space="preserve">
Quoted from wiki (http://wiki.ratemaking.org/index.php?title=Increased_Limit_Factors): 
“An alternative formulation of ILFs is the Reibsell approach when a simple rule is used to generate ILFs, based on a constant relationship between doubling the limit and the increase in premium. This allows for a simple formula (based on log base 2) which can be used to generate ILFs”.</t>
        </r>
      </text>
    </comment>
  </commentList>
</comments>
</file>

<file path=xl/sharedStrings.xml><?xml version="1.0" encoding="utf-8"?>
<sst xmlns="http://schemas.openxmlformats.org/spreadsheetml/2006/main" count="715" uniqueCount="519">
  <si>
    <t>Company</t>
  </si>
  <si>
    <t>Country</t>
  </si>
  <si>
    <t>Quotation Year</t>
  </si>
  <si>
    <t xml:space="preserve">D&amp;O Fac Pricing Tool </t>
  </si>
  <si>
    <t>Financial Institutions</t>
  </si>
  <si>
    <t>IL Factor</t>
  </si>
  <si>
    <t>Limit of Indemnity</t>
  </si>
  <si>
    <t>Total assets</t>
  </si>
  <si>
    <t>USD</t>
  </si>
  <si>
    <t>Financial conditions</t>
  </si>
  <si>
    <t>Listing</t>
  </si>
  <si>
    <t>Years in business</t>
  </si>
  <si>
    <t>Public Offerings</t>
  </si>
  <si>
    <t>M&amp;A Activity</t>
  </si>
  <si>
    <t>Litigation history</t>
  </si>
  <si>
    <t>Class of business</t>
  </si>
  <si>
    <t>Country of domicile</t>
  </si>
  <si>
    <t>International acitivity</t>
  </si>
  <si>
    <t>Underwriter opinion</t>
  </si>
  <si>
    <t>Financial Conditions</t>
  </si>
  <si>
    <t>Very Good</t>
  </si>
  <si>
    <t>Good</t>
  </si>
  <si>
    <t>Acceptable</t>
  </si>
  <si>
    <t>Public Listed Co.</t>
  </si>
  <si>
    <t>&lt; 1 year</t>
  </si>
  <si>
    <t>1 - 3 years</t>
  </si>
  <si>
    <t>3 - 5 years</t>
  </si>
  <si>
    <t>5 - 10 years</t>
  </si>
  <si>
    <t>Comment:</t>
  </si>
  <si>
    <t>Basic Premium Based on Total Assets Value</t>
  </si>
  <si>
    <t>Factor to apply on total assets (as a power to ILF)</t>
  </si>
  <si>
    <t>Automatic Increased Limit Factor (ILF)</t>
  </si>
  <si>
    <t>ILF (non-FI &amp; FI)</t>
  </si>
  <si>
    <t>Unknown / Not Often</t>
  </si>
  <si>
    <t>Planned / Some</t>
  </si>
  <si>
    <t>Many M&amp;A activities</t>
  </si>
  <si>
    <t>Business Activities &amp; Conditions</t>
  </si>
  <si>
    <t>No litigation</t>
  </si>
  <si>
    <t>Pharmaceuticals</t>
  </si>
  <si>
    <t xml:space="preserve">IT </t>
  </si>
  <si>
    <t>Airlines</t>
  </si>
  <si>
    <t>Telecom</t>
  </si>
  <si>
    <t>Country of Domicile</t>
  </si>
  <si>
    <t>International Activities</t>
  </si>
  <si>
    <t>No acitivity in foreign countries / no subsidiary</t>
  </si>
  <si>
    <t>No acitivity in foreign countries / local exposure</t>
  </si>
  <si>
    <t>Only European, Asian or Latin American exposure / subsidiaries</t>
  </si>
  <si>
    <t>World-wide including US</t>
  </si>
  <si>
    <t>Underwriter Opinion</t>
  </si>
  <si>
    <t>US Listing</t>
  </si>
  <si>
    <t>No listing</t>
  </si>
  <si>
    <t>144 a</t>
  </si>
  <si>
    <t>ADR-Level 1</t>
  </si>
  <si>
    <t>ADR-Level 2</t>
  </si>
  <si>
    <t>Full-Listing / ADR3</t>
  </si>
  <si>
    <t>Entity Coverage</t>
  </si>
  <si>
    <t>Yes</t>
  </si>
  <si>
    <t>No</t>
  </si>
  <si>
    <t>BASIC PREMIUM</t>
  </si>
  <si>
    <t>Co-Insurance %</t>
  </si>
  <si>
    <t>ODL Sublimit</t>
  </si>
  <si>
    <t>ODL Loading Factor</t>
  </si>
  <si>
    <t>Additional premium for ODL</t>
  </si>
  <si>
    <t>Loading on US Listing</t>
  </si>
  <si>
    <t>Loading on Outside Directors' Liability (ODL)</t>
  </si>
  <si>
    <t>EPL Sublimit</t>
  </si>
  <si>
    <t>EPL Loading Factor</t>
  </si>
  <si>
    <t>Additional premium for EPL</t>
  </si>
  <si>
    <t>Broker</t>
  </si>
  <si>
    <t>Brokerage</t>
  </si>
  <si>
    <t>TOTAL PREMIUM WITH US LISTING LOADING</t>
  </si>
  <si>
    <t>Basic Premium (non-FI &amp; FI)</t>
  </si>
  <si>
    <t>Factor (non-FI &amp; FI)</t>
  </si>
  <si>
    <t>Private / Non Profit</t>
  </si>
  <si>
    <t>PLC with Entity Securities</t>
  </si>
  <si>
    <t>&gt; 10 years</t>
  </si>
  <si>
    <t>Major Shareholder Excluded</t>
  </si>
  <si>
    <t>Future Offerings excluded</t>
  </si>
  <si>
    <t xml:space="preserve">Secondary offerings incl </t>
  </si>
  <si>
    <t>Future or past equity offerings incl</t>
  </si>
  <si>
    <t>IPO</t>
  </si>
  <si>
    <t>&gt;3 lawsuits</t>
  </si>
  <si>
    <t>1-3 lawsuits</t>
  </si>
  <si>
    <t>Industry</t>
  </si>
  <si>
    <t>Good Risks</t>
  </si>
  <si>
    <t>Some Risks</t>
  </si>
  <si>
    <t>Very Risky</t>
  </si>
  <si>
    <t>Japan, Korea</t>
  </si>
  <si>
    <t>Singapore, Malaysia, HK, Taiwan</t>
  </si>
  <si>
    <t>Indonesia, India, China, Middle East, Pakistan</t>
  </si>
  <si>
    <t>Philippines, Brunei, Thailand, Vietnam, Cambodia, Laos</t>
  </si>
  <si>
    <t>Quality of Board</t>
  </si>
  <si>
    <t>Moderate</t>
  </si>
  <si>
    <t>Lack of Financial Background</t>
  </si>
  <si>
    <t>Wordings</t>
  </si>
  <si>
    <t>Broader than market standard</t>
  </si>
  <si>
    <t>Market standard</t>
  </si>
  <si>
    <t>Overall Good Risk</t>
  </si>
  <si>
    <t>Overall Moderate Risk</t>
  </si>
  <si>
    <t>X-values</t>
  </si>
  <si>
    <t>Y-values</t>
  </si>
  <si>
    <t>a</t>
  </si>
  <si>
    <t>b</t>
  </si>
  <si>
    <t>ADJUSTED PREMIUM</t>
  </si>
  <si>
    <t>Negative</t>
  </si>
  <si>
    <t>Major Shareholder</t>
  </si>
  <si>
    <t>Major Shareholder Included</t>
  </si>
  <si>
    <t>Insured vs Insured</t>
  </si>
  <si>
    <t>Insured Vs Inusred</t>
  </si>
  <si>
    <t>Excluded - Carve backs for all</t>
  </si>
  <si>
    <t>Not excluded</t>
  </si>
  <si>
    <t>Inception Date</t>
  </si>
  <si>
    <t>Expiry Date</t>
  </si>
  <si>
    <t>Underwriter</t>
  </si>
  <si>
    <t>Internal Expenses</t>
  </si>
  <si>
    <t>Capital Cost</t>
  </si>
  <si>
    <t>Fieldname</t>
  </si>
  <si>
    <t>Type</t>
  </si>
  <si>
    <t>Synergy Contract No</t>
  </si>
  <si>
    <t>Department</t>
  </si>
  <si>
    <t>SubType</t>
  </si>
  <si>
    <t>Underwriter 1</t>
  </si>
  <si>
    <t>Underwriter 2</t>
  </si>
  <si>
    <t>Rama</t>
  </si>
  <si>
    <t>TSI</t>
  </si>
  <si>
    <t>MEV</t>
  </si>
  <si>
    <t>Expected Premium</t>
  </si>
  <si>
    <t>Expected Loss Ratio</t>
  </si>
  <si>
    <t>Expected Cost Ratio</t>
  </si>
  <si>
    <t>Expected Technical Balance</t>
  </si>
  <si>
    <t>Casualty</t>
  </si>
  <si>
    <t>D&amp;O</t>
  </si>
  <si>
    <t>External Expenses</t>
  </si>
  <si>
    <t>Factor to apply on ODL (as a power to ILF)</t>
  </si>
  <si>
    <t>Factor to apply on EPL (as a power to ILF)</t>
  </si>
  <si>
    <t>AUSTRALIA DOLLARS</t>
  </si>
  <si>
    <t>AUD</t>
  </si>
  <si>
    <t>BAHRAIN DINAR</t>
  </si>
  <si>
    <t>BHD</t>
  </si>
  <si>
    <t>BANGLADESH TAKA</t>
  </si>
  <si>
    <t>BDT</t>
  </si>
  <si>
    <t>BRL</t>
  </si>
  <si>
    <t>BRUNEI</t>
  </si>
  <si>
    <t>BND</t>
  </si>
  <si>
    <t>CANADA DOLLAR</t>
  </si>
  <si>
    <t>CAD</t>
  </si>
  <si>
    <t>CHINA RENMINBI</t>
  </si>
  <si>
    <t>CNY</t>
  </si>
  <si>
    <t>CYPRUS POUND</t>
  </si>
  <si>
    <t>CYP</t>
  </si>
  <si>
    <t>EGYPTIAN POUND</t>
  </si>
  <si>
    <t>EGP</t>
  </si>
  <si>
    <t>EURO</t>
  </si>
  <si>
    <t>EUR</t>
  </si>
  <si>
    <t>FIJI DOLLAR</t>
  </si>
  <si>
    <t>FJD</t>
  </si>
  <si>
    <t>HONG KONG DOLLAR</t>
  </si>
  <si>
    <t>HKD</t>
  </si>
  <si>
    <t>INDIA RUPEE</t>
  </si>
  <si>
    <t>INR</t>
  </si>
  <si>
    <t>INDONESIA RUPIAH</t>
  </si>
  <si>
    <t>IDR</t>
  </si>
  <si>
    <t>IRAN RIAL</t>
  </si>
  <si>
    <t>IRR</t>
  </si>
  <si>
    <t>IRAQ DINAR</t>
  </si>
  <si>
    <t>IQD</t>
  </si>
  <si>
    <t>ISRAEL SHEKEL</t>
  </si>
  <si>
    <t>ILS</t>
  </si>
  <si>
    <t>JAPAN YEN</t>
  </si>
  <si>
    <t>JPY</t>
  </si>
  <si>
    <t>JORDAN DINAR</t>
  </si>
  <si>
    <t>JOD</t>
  </si>
  <si>
    <t>KUWAIT DINAR</t>
  </si>
  <si>
    <t>KWD</t>
  </si>
  <si>
    <t>LAOS NEW KIP</t>
  </si>
  <si>
    <t>LAK</t>
  </si>
  <si>
    <t>LEBANON POUND</t>
  </si>
  <si>
    <t>LBP</t>
  </si>
  <si>
    <t>MOP</t>
  </si>
  <si>
    <t>MALAYSIA RINGGIT</t>
  </si>
  <si>
    <t>MYR</t>
  </si>
  <si>
    <t>MALDIVE ISLANDS FUFIYAA</t>
  </si>
  <si>
    <t>MVR</t>
  </si>
  <si>
    <t>MAURITIUS RUPEE</t>
  </si>
  <si>
    <t>MUR</t>
  </si>
  <si>
    <t>MOROCCO DIRHAM</t>
  </si>
  <si>
    <t>MAD</t>
  </si>
  <si>
    <t>NEPAL RUPEE</t>
  </si>
  <si>
    <t>NPR</t>
  </si>
  <si>
    <t>NEW ZEALAND DOLLARS</t>
  </si>
  <si>
    <t>NZD</t>
  </si>
  <si>
    <t>NORTH KOREA - WON</t>
  </si>
  <si>
    <t>KPW</t>
  </si>
  <si>
    <t xml:space="preserve">OMANI RIAL </t>
  </si>
  <si>
    <t>OMR</t>
  </si>
  <si>
    <t>PAKISTAN RUPEE</t>
  </si>
  <si>
    <t>PKR</t>
  </si>
  <si>
    <t>PAPUA NEW GUINEA KINA</t>
  </si>
  <si>
    <t>PGK</t>
  </si>
  <si>
    <t>PHILIPPINES PESO</t>
  </si>
  <si>
    <t>PHP</t>
  </si>
  <si>
    <t>POUNDS STERLING</t>
  </si>
  <si>
    <t>GBP</t>
  </si>
  <si>
    <t>QATAR - RIAL</t>
  </si>
  <si>
    <t>QAR</t>
  </si>
  <si>
    <t>SAUDI ARABIA RIAL</t>
  </si>
  <si>
    <t>SAR</t>
  </si>
  <si>
    <t>SINGAPORE DOLLAR</t>
  </si>
  <si>
    <t>SGD</t>
  </si>
  <si>
    <t>SOUTH KOREAN WON</t>
  </si>
  <si>
    <t>KRW</t>
  </si>
  <si>
    <t>SRI LANKA RUPEE</t>
  </si>
  <si>
    <t>LKR</t>
  </si>
  <si>
    <t>SWEDEN KRONER</t>
  </si>
  <si>
    <t>SEK</t>
  </si>
  <si>
    <t>SWISS FRANC</t>
  </si>
  <si>
    <t>CHF</t>
  </si>
  <si>
    <t>SYRIA POUND</t>
  </si>
  <si>
    <t>SYP</t>
  </si>
  <si>
    <t>TAIWAN DOLLAR</t>
  </si>
  <si>
    <t>TWD</t>
  </si>
  <si>
    <t>THAILAND BHAT</t>
  </si>
  <si>
    <t>THB</t>
  </si>
  <si>
    <t>TURKEY NEW LIRA</t>
  </si>
  <si>
    <t>TRY</t>
  </si>
  <si>
    <t>UNITED ARAB EMIRATES DIRHAM</t>
  </si>
  <si>
    <t>AED</t>
  </si>
  <si>
    <t>UNITED STATES DOLLAR</t>
  </si>
  <si>
    <t>VIETNAM DONG</t>
  </si>
  <si>
    <t>VND</t>
  </si>
  <si>
    <t>YEMEN RIAL</t>
  </si>
  <si>
    <t>YER</t>
  </si>
  <si>
    <t>Hungarian Forint HUF</t>
  </si>
  <si>
    <t>HUF</t>
  </si>
  <si>
    <t>Currency</t>
  </si>
  <si>
    <t>Sum Insured of Total Assets (in USD)</t>
  </si>
  <si>
    <t>Limit of Indemnity (in USD)</t>
  </si>
  <si>
    <t>Limit of Indemnity (USD)</t>
  </si>
  <si>
    <t>CRR_CURRENCY_CODE</t>
  </si>
  <si>
    <t>CRR_CURRENCY_DESC</t>
  </si>
  <si>
    <t>CRR_EXCHANGE_RATE</t>
  </si>
  <si>
    <t>BRASIL</t>
  </si>
  <si>
    <t>MACAU PATACUS</t>
  </si>
  <si>
    <t>Occ. Limit</t>
  </si>
  <si>
    <t>Occ. Attachment</t>
  </si>
  <si>
    <t>Layer 1</t>
  </si>
  <si>
    <t>Layer 2</t>
  </si>
  <si>
    <t>Layer 3</t>
  </si>
  <si>
    <t>Layer 4</t>
  </si>
  <si>
    <t>Layer 5</t>
  </si>
  <si>
    <t>Layer 6</t>
  </si>
  <si>
    <t>Basis Limit</t>
  </si>
  <si>
    <t>Basis Limit of XOL</t>
  </si>
  <si>
    <t>Factor to apply for excess layers</t>
  </si>
  <si>
    <t>Factor 1 (non-FI &amp; FI)</t>
  </si>
  <si>
    <t>Factor 2 (non-FI &amp; FI)</t>
  </si>
  <si>
    <t>Excluded - USA / Canada with Carve Backs</t>
  </si>
  <si>
    <t>Future offerings incl up to 20% of total assets</t>
  </si>
  <si>
    <t>Construction/Property Developer</t>
  </si>
  <si>
    <t>Australia, New Zealand</t>
  </si>
  <si>
    <t>&gt; 50% US activs / assets in US and/or US Subs</t>
  </si>
  <si>
    <t>Zaid Aziz Ibrahim</t>
  </si>
  <si>
    <t>Reena Kong</t>
  </si>
  <si>
    <t>Underwriters</t>
  </si>
  <si>
    <t>Loading on Employment Practices Liability (EPL)</t>
  </si>
  <si>
    <t>Tech TCR</t>
  </si>
  <si>
    <t>Market TCR</t>
  </si>
  <si>
    <t>SICS Ref</t>
  </si>
  <si>
    <t>Irene Sim</t>
  </si>
  <si>
    <t>x</t>
  </si>
  <si>
    <t>Total Assets</t>
  </si>
  <si>
    <t>Name of Company:</t>
  </si>
  <si>
    <t xml:space="preserve"> </t>
  </si>
  <si>
    <t>Direct Cedant:</t>
  </si>
  <si>
    <t>New/Renewal:</t>
  </si>
  <si>
    <t>Exchange Rate:</t>
  </si>
  <si>
    <t>Share clossing price</t>
  </si>
  <si>
    <t>Dividend Paid during the FY</t>
  </si>
  <si>
    <t>As at:</t>
  </si>
  <si>
    <t>% of change</t>
  </si>
  <si>
    <t>USD'000</t>
  </si>
  <si>
    <t>BALANCE SHEET</t>
  </si>
  <si>
    <t>ASSETS</t>
  </si>
  <si>
    <t>`</t>
  </si>
  <si>
    <t xml:space="preserve">Cash, FD, Bank Bal </t>
  </si>
  <si>
    <t>Inventories</t>
  </si>
  <si>
    <t>Trade Receivables</t>
  </si>
  <si>
    <t>Other Receivables</t>
  </si>
  <si>
    <t>Other assets</t>
  </si>
  <si>
    <t>Fiancial &amp; Derivative assets</t>
  </si>
  <si>
    <t>Tax recoverable</t>
  </si>
  <si>
    <t>Total Current Assets</t>
  </si>
  <si>
    <t>Property, plant &amp; equip</t>
  </si>
  <si>
    <t>Investment properties</t>
  </si>
  <si>
    <t>Intangible assets</t>
  </si>
  <si>
    <t>Right-of-use-assets</t>
  </si>
  <si>
    <t>Amt due from related parties</t>
  </si>
  <si>
    <t>Receivables</t>
  </si>
  <si>
    <t>Deferred tax assets</t>
  </si>
  <si>
    <t>Non Current Assets</t>
  </si>
  <si>
    <t>LIABILITIES</t>
  </si>
  <si>
    <t>S/T debts</t>
  </si>
  <si>
    <t>Deferred tax liabilities</t>
  </si>
  <si>
    <t>Proivision for restoration costs</t>
  </si>
  <si>
    <t>Total Current Liabilities</t>
  </si>
  <si>
    <t>LT Debts</t>
  </si>
  <si>
    <t>Trade &amp; Otr payables</t>
  </si>
  <si>
    <t>Current tax liabilities</t>
  </si>
  <si>
    <t>Total liabilities</t>
  </si>
  <si>
    <t>Long Term Liabilities</t>
  </si>
  <si>
    <t>SHAREHOLDER'S EQUITY</t>
  </si>
  <si>
    <t>Common Stock/share capital</t>
  </si>
  <si>
    <t>Total Equity</t>
  </si>
  <si>
    <t>Market Capitalisation</t>
  </si>
  <si>
    <t>INCOME STATEMENT</t>
  </si>
  <si>
    <t>Revenue</t>
  </si>
  <si>
    <t>Cost of Sales</t>
  </si>
  <si>
    <t>Gross Profit</t>
  </si>
  <si>
    <t>Other operating income</t>
  </si>
  <si>
    <t>Adminstrative expenses</t>
  </si>
  <si>
    <t>Selling &amp; distribution costs</t>
  </si>
  <si>
    <t>Other operating expenses</t>
  </si>
  <si>
    <t>Impairment of non-financial assets</t>
  </si>
  <si>
    <t>Operating Income</t>
  </si>
  <si>
    <t>Finance Income</t>
  </si>
  <si>
    <t>Net Income/Loss</t>
  </si>
  <si>
    <t>RATIO ANALYSIS</t>
  </si>
  <si>
    <t>Profitability Ratios:</t>
  </si>
  <si>
    <t>Gross Profit Margin</t>
  </si>
  <si>
    <t>Net Profit Margin</t>
  </si>
  <si>
    <t>Return on Assets</t>
  </si>
  <si>
    <t>Return on Equity</t>
  </si>
  <si>
    <t>Liquidity Ratios</t>
  </si>
  <si>
    <t>Current Ratio</t>
  </si>
  <si>
    <t>Acid Test Ratio</t>
  </si>
  <si>
    <t>Interest Coverage Ratio</t>
  </si>
  <si>
    <t>Mkt Price &amp; dividend Ratios</t>
  </si>
  <si>
    <t>EPS (sen)</t>
  </si>
  <si>
    <t>PE Ratio</t>
  </si>
  <si>
    <t>Dividend payout ratio</t>
  </si>
  <si>
    <t>Capital Structure &amp; Solvency</t>
  </si>
  <si>
    <t>Debt Ratio</t>
  </si>
  <si>
    <t>Debt to Equity Ratio</t>
  </si>
  <si>
    <t>Altman's Z-score</t>
  </si>
  <si>
    <t>Equity ratio</t>
  </si>
  <si>
    <t>Z=1.2X1 + 1.4X2 + 3.3X3 + 0.6X4 + 1.0X5</t>
  </si>
  <si>
    <t>X1=Working capital / total assets</t>
  </si>
  <si>
    <t>X2= Retained earning / total assets</t>
  </si>
  <si>
    <t>X3=EBIT / total assets</t>
  </si>
  <si>
    <t>X4=Mkt Cap / total liabilities</t>
  </si>
  <si>
    <t>X5=Revenue / total asset</t>
  </si>
  <si>
    <t>Z-score</t>
  </si>
  <si>
    <t xml:space="preserve">Financial Analysis </t>
  </si>
  <si>
    <t xml:space="preserve">Company </t>
  </si>
  <si>
    <t xml:space="preserve">Industry </t>
  </si>
  <si>
    <t xml:space="preserve">Domicile </t>
  </si>
  <si>
    <t xml:space="preserve">Accounting Standard </t>
  </si>
  <si>
    <t>MFRS,IFRS</t>
  </si>
  <si>
    <t>Auditor</t>
  </si>
  <si>
    <t>BDO</t>
  </si>
  <si>
    <t>Date</t>
  </si>
  <si>
    <t xml:space="preserve">Currency </t>
  </si>
  <si>
    <t xml:space="preserve"> in Mill./Tsd.:</t>
  </si>
  <si>
    <t>000</t>
  </si>
  <si>
    <t xml:space="preserve">Balance Sheet - Profit and loss account </t>
  </si>
  <si>
    <t>D</t>
  </si>
  <si>
    <t>Fixed Assets (if unavailable, non-current assets)</t>
  </si>
  <si>
    <t>Current Assets</t>
  </si>
  <si>
    <t xml:space="preserve">Inventory </t>
  </si>
  <si>
    <t xml:space="preserve">Trade receivables </t>
  </si>
  <si>
    <t xml:space="preserve">Cash </t>
  </si>
  <si>
    <t xml:space="preserve">Shareholders Equity </t>
  </si>
  <si>
    <t>Long-term Liabilities</t>
  </si>
  <si>
    <t>Short-term Liabilities</t>
  </si>
  <si>
    <t>Turnover / Sale / Revenue</t>
  </si>
  <si>
    <t>Operating Profit (EBIT)</t>
  </si>
  <si>
    <t xml:space="preserve">Financial Profit </t>
  </si>
  <si>
    <t xml:space="preserve">Profit before Taxes </t>
  </si>
  <si>
    <t xml:space="preserve">Profit after Taxes </t>
  </si>
  <si>
    <t xml:space="preserve">Net Profit </t>
  </si>
  <si>
    <t>Free Cash Flow</t>
  </si>
  <si>
    <t>Retained Earnings</t>
  </si>
  <si>
    <t>Common &amp; Preferred Stock</t>
  </si>
  <si>
    <t xml:space="preserve">Result </t>
  </si>
  <si>
    <t>Score</t>
  </si>
  <si>
    <t>Financial Quality</t>
  </si>
  <si>
    <t xml:space="preserve">Comments: </t>
  </si>
  <si>
    <t>Ratios</t>
  </si>
  <si>
    <t>Worth</t>
  </si>
  <si>
    <t>Points</t>
  </si>
  <si>
    <t>Current Ratio (&gt;0.8)</t>
  </si>
  <si>
    <t>Quick Ratio (&gt;1.0)</t>
  </si>
  <si>
    <t>Turnover to Inventory (&lt;80 days)</t>
  </si>
  <si>
    <t>Receipt of Payment (&lt;90 days)</t>
  </si>
  <si>
    <t>Equity Ratio (&gt;0.25)</t>
  </si>
  <si>
    <t xml:space="preserve">Equity to Fixed Assets </t>
  </si>
  <si>
    <t>Line of Credit (&lt;70%)</t>
  </si>
  <si>
    <t>Financial Result</t>
  </si>
  <si>
    <t>Operating profit and net profit</t>
  </si>
  <si>
    <t>Sales to Total Assets</t>
  </si>
  <si>
    <t xml:space="preserve">Gross Profitability </t>
  </si>
  <si>
    <t xml:space="preserve">Growing Profit before Taxes </t>
  </si>
  <si>
    <t>Growing Turnover</t>
  </si>
  <si>
    <t>Growing Net Profit</t>
  </si>
  <si>
    <t>Total Result</t>
  </si>
  <si>
    <t>Pts. of 50</t>
  </si>
  <si>
    <t>Comments</t>
  </si>
  <si>
    <t xml:space="preserve">Result: </t>
  </si>
  <si>
    <t>Altman Z Score</t>
  </si>
  <si>
    <t>&lt; 1.8           High chance to fail</t>
  </si>
  <si>
    <t>1.81 to 2.99 Unsure</t>
  </si>
  <si>
    <t>3&gt;               Unlikely to Fail</t>
  </si>
  <si>
    <t>Financial Analysis Decision Tree</t>
  </si>
  <si>
    <t>Manufacturing</t>
  </si>
  <si>
    <t>More than 3.0</t>
  </si>
  <si>
    <t>Insured:</t>
  </si>
  <si>
    <t>Technology</t>
  </si>
  <si>
    <t>Less than 1.8</t>
  </si>
  <si>
    <t>Financial Year:</t>
  </si>
  <si>
    <t>Profitability</t>
  </si>
  <si>
    <t>Financial Institution</t>
  </si>
  <si>
    <t>N/A</t>
  </si>
  <si>
    <t>Betw 1.8 and 3.0</t>
  </si>
  <si>
    <t>Telecommunications</t>
  </si>
  <si>
    <t>Others</t>
  </si>
  <si>
    <t>EPS</t>
  </si>
  <si>
    <t>Gross Margin</t>
  </si>
  <si>
    <t>ROA</t>
  </si>
  <si>
    <t>ROE</t>
  </si>
  <si>
    <t>Parameters</t>
  </si>
  <si>
    <t>Ratio</t>
  </si>
  <si>
    <t>FINANCIAL EVALUATION</t>
  </si>
  <si>
    <t>&gt;0.5</t>
  </si>
  <si>
    <t>&gt;5</t>
  </si>
  <si>
    <t>&gt;0.1</t>
  </si>
  <si>
    <t>How Does the Insured Compare with Others in Industry?</t>
  </si>
  <si>
    <t>Exposure Base</t>
  </si>
  <si>
    <t>Liquidity</t>
  </si>
  <si>
    <t>&gt;20%</t>
  </si>
  <si>
    <t>What is the Trend of Financial Performance?</t>
  </si>
  <si>
    <t>&gt;5%</t>
  </si>
  <si>
    <t>&gt;2%</t>
  </si>
  <si>
    <t>Industry:</t>
  </si>
  <si>
    <t>Quick Ratio</t>
  </si>
  <si>
    <t>&gt;10%</t>
  </si>
  <si>
    <t>&gt;15%</t>
  </si>
  <si>
    <t>AZS</t>
  </si>
  <si>
    <t>&gt;1.1</t>
  </si>
  <si>
    <t>&gt;0.9</t>
  </si>
  <si>
    <t>Leverage</t>
  </si>
  <si>
    <t>&lt;1</t>
  </si>
  <si>
    <t xml:space="preserve">Debt-Equity </t>
  </si>
  <si>
    <t>InterestCoverage</t>
  </si>
  <si>
    <t>&gt;2</t>
  </si>
  <si>
    <t>Inventory T/O</t>
  </si>
  <si>
    <t>&gt;4</t>
  </si>
  <si>
    <t>n/a</t>
  </si>
  <si>
    <t>&gt;3</t>
  </si>
  <si>
    <t>Asset T/O</t>
  </si>
  <si>
    <t>AveCollection</t>
  </si>
  <si>
    <t>&lt;100days</t>
  </si>
  <si>
    <t>&lt;180days</t>
  </si>
  <si>
    <t>80% of max score</t>
  </si>
  <si>
    <t>60% of max score</t>
  </si>
  <si>
    <t>50% of max score</t>
  </si>
  <si>
    <t>Activity</t>
  </si>
  <si>
    <t>AvePayment</t>
  </si>
  <si>
    <t>Summary of Financial Analysis</t>
  </si>
  <si>
    <t>Efficiency Ratio</t>
  </si>
  <si>
    <t>Loan/Deposit Ratio</t>
  </si>
  <si>
    <t>NonPerformingLoans</t>
  </si>
  <si>
    <t>&lt;4%</t>
  </si>
  <si>
    <t>Other reserves</t>
  </si>
  <si>
    <t>Retained earnings</t>
  </si>
  <si>
    <t>Non-controlling interest</t>
  </si>
  <si>
    <t>Lease liabilities</t>
  </si>
  <si>
    <t>Loans due to holding company &amp; subsidiaries</t>
  </si>
  <si>
    <t>Provision for asset retirement</t>
  </si>
  <si>
    <t>Derivative financial liabilities</t>
  </si>
  <si>
    <t>Amt due to holding company, associate, subsidiaries, related companies</t>
  </si>
  <si>
    <t>LLA Liability</t>
  </si>
  <si>
    <t>Malaysia</t>
  </si>
  <si>
    <t>Equity-accounted investees</t>
  </si>
  <si>
    <t>Investments at fair value</t>
  </si>
  <si>
    <t>Derivative</t>
  </si>
  <si>
    <t>Foreign currency translation reserve</t>
  </si>
  <si>
    <t>Statutory reserves</t>
  </si>
  <si>
    <t>Share Premium</t>
  </si>
  <si>
    <t>Shares held under employees’ share based payment plan</t>
  </si>
  <si>
    <t>Employee benefits</t>
  </si>
  <si>
    <t>Long-term payables</t>
  </si>
  <si>
    <t>Deriviative</t>
  </si>
  <si>
    <t>Provision against asset restoration</t>
  </si>
  <si>
    <t>Trade Payables</t>
  </si>
  <si>
    <t xml:space="preserve">Accrued and other liabilities </t>
  </si>
  <si>
    <t>Share of results of equity-accounted investees, net of zakat
and tax</t>
  </si>
  <si>
    <t>Finance Cost</t>
  </si>
  <si>
    <t>Net Finance Cost</t>
  </si>
  <si>
    <t>Reversal of accruals no longer required</t>
  </si>
  <si>
    <t>Zakat &amp; income tax expenses</t>
  </si>
  <si>
    <t>Profit Before Zakat/Tax</t>
  </si>
  <si>
    <t>Total Comprehensive income for the year</t>
  </si>
  <si>
    <t>FY2021</t>
  </si>
  <si>
    <t>FY2020</t>
  </si>
  <si>
    <t>as at 31/12/2021</t>
  </si>
  <si>
    <t>as at 31/12/2020</t>
  </si>
  <si>
    <t>Minority interest</t>
  </si>
  <si>
    <t>Working Capital</t>
  </si>
  <si>
    <t>Adjusted Working Capital</t>
  </si>
  <si>
    <t>Gross Working Capital</t>
  </si>
  <si>
    <t>Net Working Capital</t>
  </si>
  <si>
    <t>Free Cash Flow Formula</t>
  </si>
  <si>
    <t>EBIT</t>
  </si>
  <si>
    <t>Tax Rate = 24% (depending)</t>
  </si>
  <si>
    <t>Depreciation</t>
  </si>
  <si>
    <t>Capital Expenditure</t>
  </si>
  <si>
    <t>Increase in Net working Capital</t>
  </si>
  <si>
    <t>Changes in Net Working Capital</t>
  </si>
  <si>
    <t>Working Capital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</si>
</sst>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&quot;£&quot;* #,##0.00_-;\-&quot;£&quot;* #,##0.00_-;_-&quot;£&quot;* &quot;-&quot;??_-;_-@_-"/>
    <numFmt numFmtId="165" formatCode="_(* #,##0.00_);_(* \(#,##0.00\);_(* &quot;-&quot;??_);_(@_)"/>
    <numFmt numFmtId="166" formatCode="0.0%"/>
    <numFmt numFmtId="167" formatCode="0.0"/>
    <numFmt numFmtId="168" formatCode="_-* #,##0_-;\-* #,##0_-;_-* &quot;-&quot;??_-;_-@_-"/>
    <numFmt numFmtId="169" formatCode="#,##0.00000000000000"/>
    <numFmt numFmtId="170" formatCode="_(* #,##0_);_(* \(#,##0\);_(* &quot;-&quot;??_);_(@_)"/>
    <numFmt numFmtId="171" formatCode="0.00_);\(0.00\)"/>
    <numFmt numFmtId="172" formatCode="0.000"/>
    <numFmt numFmtId="173" formatCode="_(* #,##0.0000_);_(* \(#,##0.0000\);_(* &quot;-&quot;??_);_(@_)"/>
    <numFmt numFmtId="174" formatCode="#,###,##0.00\ &quot;EUR&quot;;[Red]\-#,##0.00\ &quot;EUR&quot;"/>
    <numFmt numFmtId="175" formatCode="#,###,##0.00\ &quot;EUR&quot;;\-#,##0.00\ &quot;EUR&quot;"/>
    <numFmt numFmtId="176" formatCode="00000"/>
    <numFmt numFmtId="177" formatCode="_(* #,##0.000_);_(* \(#,##0.000\);_(* &quot;-&quot;??_);_(@_)"/>
  </numFmts>
  <fonts count="6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 MT"/>
    </font>
    <font>
      <b/>
      <sz val="15"/>
      <color theme="5" tint="-0.249977111117893"/>
      <name val="Arial MT"/>
    </font>
    <font>
      <sz val="10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3366FF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9"/>
      <name val="Arial MT"/>
    </font>
    <font>
      <sz val="8"/>
      <name val="Arial"/>
      <family val="2"/>
    </font>
    <font>
      <sz val="9"/>
      <name val="Arial MT"/>
    </font>
    <font>
      <sz val="8"/>
      <name val="Arial MT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2.5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8" tint="-0.249977111117893"/>
      <name val="Calibri"/>
      <family val="2"/>
      <scheme val="minor"/>
    </font>
    <font>
      <b/>
      <u/>
      <sz val="11"/>
      <color rgb="FFA86ED4"/>
      <name val="Calibri"/>
      <family val="2"/>
      <scheme val="minor"/>
    </font>
    <font>
      <b/>
      <sz val="11"/>
      <color rgb="FFFF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 val="double"/>
      <sz val="12"/>
      <color rgb="FFFF0066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b/>
      <i/>
      <sz val="10"/>
      <color theme="5" tint="-0.249977111117893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3" tint="0.39994506668294322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i/>
      <sz val="10"/>
      <color theme="0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b/>
      <sz val="9"/>
      <name val="Arial"/>
      <family val="2"/>
    </font>
    <font>
      <b/>
      <sz val="9"/>
      <color indexed="22"/>
      <name val="Arial"/>
      <family val="2"/>
    </font>
    <font>
      <sz val="10"/>
      <color indexed="22"/>
      <name val="Arial"/>
      <family val="2"/>
    </font>
    <font>
      <b/>
      <sz val="9"/>
      <color indexed="10"/>
      <name val="Arial"/>
      <family val="2"/>
    </font>
    <font>
      <b/>
      <i/>
      <sz val="9"/>
      <name val="Symbol"/>
      <family val="1"/>
      <charset val="2"/>
    </font>
    <font>
      <i/>
      <sz val="9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29"/>
      </patternFill>
    </fill>
    <fill>
      <patternFill patternType="solid">
        <fgColor theme="0" tint="-4.9989318521683403E-2"/>
        <bgColor indexed="29"/>
      </patternFill>
    </fill>
    <fill>
      <patternFill patternType="solid">
        <fgColor theme="2" tint="-9.9978637043366805E-2"/>
        <bgColor indexed="29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29"/>
      </patternFill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29"/>
      </patternFill>
    </fill>
    <fill>
      <patternFill patternType="solid">
        <fgColor theme="2" tint="-9.9948118533890809E-2"/>
        <bgColor theme="5"/>
      </patternFill>
    </fill>
    <fill>
      <patternFill patternType="solid">
        <fgColor theme="8" tint="0.59996337778862885"/>
        <bgColor indexed="29"/>
      </patternFill>
    </fill>
    <fill>
      <patternFill patternType="solid">
        <fgColor theme="9" tint="0.79998168889431442"/>
        <bgColor indexed="29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3366FF"/>
        <bgColor rgb="FF000000"/>
      </patternFill>
    </fill>
    <fill>
      <patternFill patternType="solid">
        <fgColor rgb="FF00CCFF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A6CAF0"/>
        <bgColor rgb="FF000000"/>
      </patternFill>
    </fill>
    <fill>
      <patternFill patternType="solid">
        <fgColor indexed="9"/>
        <bgColor indexed="64"/>
      </patternFill>
    </fill>
    <fill>
      <patternFill patternType="lightGray"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81">
    <border>
      <left/>
      <right/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/>
      <right/>
      <top style="thin">
        <color theme="4" tint="0.59996337778862885"/>
      </top>
      <bottom/>
      <diagonal/>
    </border>
    <border>
      <left/>
      <right style="medium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/>
      <diagonal/>
    </border>
    <border>
      <left/>
      <right style="medium">
        <color theme="4" tint="0.59996337778862885"/>
      </right>
      <top/>
      <bottom/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  <border>
      <left/>
      <right/>
      <top/>
      <bottom style="medium">
        <color theme="4" tint="0.59996337778862885"/>
      </bottom>
      <diagonal/>
    </border>
    <border>
      <left/>
      <right style="medium">
        <color theme="4" tint="0.59996337778862885"/>
      </right>
      <top/>
      <bottom style="medium">
        <color theme="4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n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ashed">
        <color theme="0" tint="-0.24994659260841701"/>
      </bottom>
      <diagonal/>
    </border>
    <border>
      <left style="thin">
        <color theme="0" tint="-0.24994659260841701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24994659260841701"/>
      </left>
      <right/>
      <top style="dashed">
        <color theme="0" tint="-0.24994659260841701"/>
      </top>
      <bottom style="thin">
        <color theme="0" tint="-0.24994659260841701"/>
      </bottom>
      <diagonal/>
    </border>
    <border>
      <left/>
      <right style="dashed">
        <color theme="0" tint="-0.24994659260841701"/>
      </right>
      <top style="thin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theme="1" tint="0.499984740745262"/>
      </left>
      <right style="dashed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dashed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55"/>
      </left>
      <right/>
      <top style="thin">
        <color indexed="55"/>
      </top>
      <bottom style="thin">
        <color indexed="9"/>
      </bottom>
      <diagonal/>
    </border>
    <border>
      <left/>
      <right/>
      <top style="thin">
        <color indexed="55"/>
      </top>
      <bottom style="thin">
        <color indexed="9"/>
      </bottom>
      <diagonal/>
    </border>
    <border>
      <left/>
      <right style="thin">
        <color indexed="9"/>
      </right>
      <top style="thin">
        <color indexed="55"/>
      </top>
      <bottom style="thin">
        <color indexed="9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 style="thin">
        <color indexed="9"/>
      </right>
      <top style="thin">
        <color indexed="55"/>
      </top>
      <bottom style="thin">
        <color indexed="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 style="thin">
        <color indexed="9"/>
      </right>
      <top/>
      <bottom/>
      <diagonal/>
    </border>
    <border>
      <left style="thin">
        <color indexed="55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 style="thin">
        <color indexed="9"/>
      </right>
      <top style="thin">
        <color indexed="55"/>
      </top>
      <bottom/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55"/>
      </left>
      <right/>
      <top/>
      <bottom style="thin">
        <color indexed="9"/>
      </bottom>
      <diagonal/>
    </border>
    <border>
      <left style="thin">
        <color indexed="55"/>
      </left>
      <right style="thin">
        <color indexed="9"/>
      </right>
      <top style="thin">
        <color indexed="55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9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30" fillId="0" borderId="0"/>
    <xf numFmtId="165" fontId="30" fillId="0" borderId="0" applyFont="0" applyFill="0" applyBorder="0" applyAlignment="0" applyProtection="0"/>
    <xf numFmtId="0" fontId="31" fillId="0" borderId="0"/>
    <xf numFmtId="164" fontId="19" fillId="0" borderId="0" applyFont="0" applyFill="0" applyBorder="0" applyAlignment="0" applyProtection="0"/>
  </cellStyleXfs>
  <cellXfs count="502">
    <xf numFmtId="0" fontId="0" fillId="0" borderId="0" xfId="0"/>
    <xf numFmtId="0" fontId="0" fillId="2" borderId="0" xfId="0" applyFill="1"/>
    <xf numFmtId="0" fontId="4" fillId="5" borderId="0" xfId="0" applyFont="1" applyFill="1" applyAlignment="1">
      <alignment vertical="center"/>
    </xf>
    <xf numFmtId="0" fontId="1" fillId="2" borderId="0" xfId="0" applyFont="1" applyFill="1"/>
    <xf numFmtId="0" fontId="5" fillId="3" borderId="0" xfId="0" applyFont="1" applyFill="1"/>
    <xf numFmtId="0" fontId="1" fillId="2" borderId="0" xfId="0" applyFont="1" applyFill="1" applyAlignment="1">
      <alignment horizontal="center"/>
    </xf>
    <xf numFmtId="3" fontId="0" fillId="2" borderId="0" xfId="0" applyNumberFormat="1" applyFill="1"/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3" fillId="4" borderId="4" xfId="0" applyFont="1" applyFill="1" applyBorder="1" applyAlignment="1" applyProtection="1">
      <alignment horizontal="left"/>
      <protection locked="0"/>
    </xf>
    <xf numFmtId="0" fontId="13" fillId="4" borderId="0" xfId="0" applyFont="1" applyFill="1" applyAlignment="1" applyProtection="1">
      <alignment horizontal="left"/>
      <protection locked="0"/>
    </xf>
    <xf numFmtId="0" fontId="13" fillId="4" borderId="1" xfId="0" applyFont="1" applyFill="1" applyBorder="1" applyAlignment="1" applyProtection="1">
      <alignment horizontal="left"/>
      <protection locked="0"/>
    </xf>
    <xf numFmtId="0" fontId="14" fillId="9" borderId="0" xfId="0" applyFont="1" applyFill="1" applyAlignment="1" applyProtection="1">
      <alignment horizontal="left"/>
      <protection locked="0"/>
    </xf>
    <xf numFmtId="0" fontId="14" fillId="9" borderId="1" xfId="0" applyFont="1" applyFill="1" applyBorder="1" applyAlignment="1" applyProtection="1">
      <alignment horizontal="left"/>
      <protection locked="0"/>
    </xf>
    <xf numFmtId="0" fontId="15" fillId="3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left"/>
    </xf>
    <xf numFmtId="0" fontId="16" fillId="3" borderId="0" xfId="0" applyFont="1" applyFill="1"/>
    <xf numFmtId="3" fontId="16" fillId="3" borderId="6" xfId="0" applyNumberFormat="1" applyFont="1" applyFill="1" applyBorder="1"/>
    <xf numFmtId="3" fontId="16" fillId="3" borderId="7" xfId="0" applyNumberFormat="1" applyFont="1" applyFill="1" applyBorder="1"/>
    <xf numFmtId="3" fontId="16" fillId="3" borderId="10" xfId="0" applyNumberFormat="1" applyFont="1" applyFill="1" applyBorder="1"/>
    <xf numFmtId="3" fontId="16" fillId="3" borderId="11" xfId="0" applyNumberFormat="1" applyFont="1" applyFill="1" applyBorder="1"/>
    <xf numFmtId="3" fontId="16" fillId="3" borderId="12" xfId="0" applyNumberFormat="1" applyFont="1" applyFill="1" applyBorder="1"/>
    <xf numFmtId="0" fontId="17" fillId="3" borderId="0" xfId="0" applyFont="1" applyFill="1"/>
    <xf numFmtId="0" fontId="16" fillId="3" borderId="9" xfId="0" applyFont="1" applyFill="1" applyBorder="1" applyAlignment="1">
      <alignment horizontal="center"/>
    </xf>
    <xf numFmtId="0" fontId="16" fillId="3" borderId="9" xfId="0" applyFont="1" applyFill="1" applyBorder="1" applyAlignment="1">
      <alignment horizontal="center" wrapText="1"/>
    </xf>
    <xf numFmtId="3" fontId="0" fillId="7" borderId="0" xfId="0" applyNumberFormat="1" applyFill="1"/>
    <xf numFmtId="0" fontId="16" fillId="3" borderId="0" xfId="0" applyFont="1" applyFill="1" applyAlignment="1">
      <alignment horizontal="center"/>
    </xf>
    <xf numFmtId="0" fontId="16" fillId="3" borderId="6" xfId="0" applyFont="1" applyFill="1" applyBorder="1"/>
    <xf numFmtId="0" fontId="16" fillId="3" borderId="5" xfId="0" applyFont="1" applyFill="1" applyBorder="1"/>
    <xf numFmtId="0" fontId="16" fillId="3" borderId="6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8" fillId="2" borderId="0" xfId="0" applyFont="1" applyFill="1"/>
    <xf numFmtId="0" fontId="20" fillId="2" borderId="0" xfId="0" applyFont="1" applyFill="1"/>
    <xf numFmtId="0" fontId="21" fillId="2" borderId="0" xfId="0" applyFont="1" applyFill="1"/>
    <xf numFmtId="0" fontId="5" fillId="3" borderId="0" xfId="0" quotePrefix="1" applyFont="1" applyFill="1"/>
    <xf numFmtId="0" fontId="22" fillId="2" borderId="0" xfId="0" applyFont="1" applyFill="1"/>
    <xf numFmtId="0" fontId="23" fillId="2" borderId="0" xfId="0" applyFont="1" applyFill="1"/>
    <xf numFmtId="3" fontId="24" fillId="12" borderId="2" xfId="0" applyNumberFormat="1" applyFont="1" applyFill="1" applyBorder="1" applyAlignment="1" applyProtection="1">
      <alignment horizontal="center"/>
      <protection locked="0"/>
    </xf>
    <xf numFmtId="0" fontId="16" fillId="3" borderId="12" xfId="0" applyFont="1" applyFill="1" applyBorder="1"/>
    <xf numFmtId="0" fontId="26" fillId="2" borderId="0" xfId="0" applyFont="1" applyFill="1"/>
    <xf numFmtId="0" fontId="5" fillId="0" borderId="0" xfId="0" applyFont="1"/>
    <xf numFmtId="0" fontId="27" fillId="3" borderId="0" xfId="0" applyFont="1" applyFill="1"/>
    <xf numFmtId="0" fontId="5" fillId="3" borderId="6" xfId="0" applyFont="1" applyFill="1" applyBorder="1"/>
    <xf numFmtId="3" fontId="5" fillId="3" borderId="6" xfId="0" applyNumberFormat="1" applyFont="1" applyFill="1" applyBorder="1"/>
    <xf numFmtId="3" fontId="5" fillId="3" borderId="17" xfId="0" applyNumberFormat="1" applyFont="1" applyFill="1" applyBorder="1"/>
    <xf numFmtId="0" fontId="5" fillId="3" borderId="9" xfId="0" applyFont="1" applyFill="1" applyBorder="1" applyAlignment="1">
      <alignment horizontal="right"/>
    </xf>
    <xf numFmtId="0" fontId="5" fillId="3" borderId="16" xfId="0" applyFont="1" applyFill="1" applyBorder="1" applyAlignment="1">
      <alignment horizontal="right"/>
    </xf>
    <xf numFmtId="0" fontId="5" fillId="3" borderId="11" xfId="0" applyFont="1" applyFill="1" applyBorder="1"/>
    <xf numFmtId="3" fontId="5" fillId="3" borderId="11" xfId="0" applyNumberFormat="1" applyFont="1" applyFill="1" applyBorder="1"/>
    <xf numFmtId="3" fontId="5" fillId="3" borderId="12" xfId="0" applyNumberFormat="1" applyFont="1" applyFill="1" applyBorder="1"/>
    <xf numFmtId="0" fontId="5" fillId="3" borderId="10" xfId="0" applyFont="1" applyFill="1" applyBorder="1"/>
    <xf numFmtId="0" fontId="0" fillId="2" borderId="0" xfId="0" applyFill="1" applyProtection="1">
      <protection locked="0"/>
    </xf>
    <xf numFmtId="3" fontId="0" fillId="7" borderId="0" xfId="0" applyNumberFormat="1" applyFill="1" applyProtection="1">
      <protection locked="0"/>
    </xf>
    <xf numFmtId="3" fontId="0" fillId="2" borderId="0" xfId="0" applyNumberFormat="1" applyFill="1" applyProtection="1">
      <protection locked="0"/>
    </xf>
    <xf numFmtId="9" fontId="0" fillId="7" borderId="0" xfId="1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left"/>
      <protection locked="0"/>
    </xf>
    <xf numFmtId="0" fontId="1" fillId="2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4" fontId="28" fillId="11" borderId="18" xfId="0" applyNumberFormat="1" applyFont="1" applyFill="1" applyBorder="1"/>
    <xf numFmtId="4" fontId="0" fillId="11" borderId="19" xfId="0" applyNumberFormat="1" applyFill="1" applyBorder="1"/>
    <xf numFmtId="4" fontId="0" fillId="11" borderId="20" xfId="0" applyNumberFormat="1" applyFill="1" applyBorder="1"/>
    <xf numFmtId="3" fontId="28" fillId="11" borderId="21" xfId="0" applyNumberFormat="1" applyFont="1" applyFill="1" applyBorder="1"/>
    <xf numFmtId="3" fontId="0" fillId="11" borderId="0" xfId="0" applyNumberFormat="1" applyFill="1"/>
    <xf numFmtId="3" fontId="0" fillId="11" borderId="22" xfId="0" applyNumberFormat="1" applyFill="1" applyBorder="1"/>
    <xf numFmtId="4" fontId="28" fillId="11" borderId="21" xfId="0" applyNumberFormat="1" applyFont="1" applyFill="1" applyBorder="1"/>
    <xf numFmtId="4" fontId="0" fillId="11" borderId="0" xfId="0" applyNumberFormat="1" applyFill="1"/>
    <xf numFmtId="4" fontId="0" fillId="11" borderId="22" xfId="0" applyNumberFormat="1" applyFill="1" applyBorder="1"/>
    <xf numFmtId="0" fontId="28" fillId="11" borderId="21" xfId="0" applyFont="1" applyFill="1" applyBorder="1"/>
    <xf numFmtId="0" fontId="0" fillId="11" borderId="0" xfId="0" applyFill="1"/>
    <xf numFmtId="0" fontId="0" fillId="11" borderId="22" xfId="0" applyFill="1" applyBorder="1"/>
    <xf numFmtId="167" fontId="28" fillId="11" borderId="21" xfId="0" applyNumberFormat="1" applyFont="1" applyFill="1" applyBorder="1"/>
    <xf numFmtId="167" fontId="0" fillId="11" borderId="0" xfId="0" applyNumberFormat="1" applyFill="1"/>
    <xf numFmtId="167" fontId="0" fillId="11" borderId="22" xfId="0" applyNumberFormat="1" applyFill="1" applyBorder="1"/>
    <xf numFmtId="4" fontId="28" fillId="11" borderId="23" xfId="0" applyNumberFormat="1" applyFont="1" applyFill="1" applyBorder="1"/>
    <xf numFmtId="4" fontId="0" fillId="11" borderId="24" xfId="0" applyNumberFormat="1" applyFill="1" applyBorder="1"/>
    <xf numFmtId="4" fontId="0" fillId="11" borderId="25" xfId="0" applyNumberFormat="1" applyFill="1" applyBorder="1"/>
    <xf numFmtId="4" fontId="28" fillId="11" borderId="19" xfId="0" applyNumberFormat="1" applyFont="1" applyFill="1" applyBorder="1"/>
    <xf numFmtId="3" fontId="28" fillId="11" borderId="0" xfId="0" applyNumberFormat="1" applyFont="1" applyFill="1"/>
    <xf numFmtId="4" fontId="28" fillId="11" borderId="0" xfId="0" applyNumberFormat="1" applyFont="1" applyFill="1"/>
    <xf numFmtId="0" fontId="28" fillId="11" borderId="0" xfId="0" applyFont="1" applyFill="1"/>
    <xf numFmtId="167" fontId="28" fillId="11" borderId="0" xfId="0" applyNumberFormat="1" applyFont="1" applyFill="1"/>
    <xf numFmtId="4" fontId="28" fillId="11" borderId="24" xfId="0" applyNumberFormat="1" applyFont="1" applyFill="1" applyBorder="1"/>
    <xf numFmtId="0" fontId="29" fillId="2" borderId="0" xfId="0" applyFont="1" applyFill="1"/>
    <xf numFmtId="9" fontId="0" fillId="2" borderId="0" xfId="0" applyNumberFormat="1" applyFill="1" applyAlignment="1">
      <alignment horizontal="center"/>
    </xf>
    <xf numFmtId="168" fontId="0" fillId="0" borderId="0" xfId="2" applyNumberFormat="1" applyFont="1"/>
    <xf numFmtId="9" fontId="0" fillId="0" borderId="0" xfId="0" applyNumberFormat="1"/>
    <xf numFmtId="168" fontId="0" fillId="0" borderId="0" xfId="0" applyNumberFormat="1"/>
    <xf numFmtId="9" fontId="2" fillId="2" borderId="0" xfId="0" applyNumberFormat="1" applyFont="1" applyFill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10" borderId="13" xfId="0" applyFill="1" applyBorder="1" applyProtection="1">
      <protection hidden="1"/>
    </xf>
    <xf numFmtId="0" fontId="0" fillId="2" borderId="0" xfId="0" applyFill="1" applyProtection="1">
      <protection hidden="1"/>
    </xf>
    <xf numFmtId="3" fontId="9" fillId="8" borderId="2" xfId="0" applyNumberFormat="1" applyFont="1" applyFill="1" applyBorder="1" applyAlignment="1" applyProtection="1">
      <alignment horizontal="center"/>
      <protection hidden="1"/>
    </xf>
    <xf numFmtId="3" fontId="25" fillId="13" borderId="15" xfId="0" applyNumberFormat="1" applyFont="1" applyFill="1" applyBorder="1" applyAlignment="1" applyProtection="1">
      <alignment horizontal="center"/>
      <protection hidden="1"/>
    </xf>
    <xf numFmtId="3" fontId="2" fillId="14" borderId="2" xfId="0" applyNumberFormat="1" applyFont="1" applyFill="1" applyBorder="1" applyAlignment="1" applyProtection="1">
      <alignment horizontal="center"/>
      <protection hidden="1"/>
    </xf>
    <xf numFmtId="3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9" fontId="0" fillId="2" borderId="0" xfId="1" applyFont="1" applyFill="1" applyAlignment="1" applyProtection="1">
      <alignment horizontal="center"/>
    </xf>
    <xf numFmtId="0" fontId="1" fillId="2" borderId="0" xfId="0" applyFont="1" applyFill="1" applyAlignment="1">
      <alignment horizontal="right"/>
    </xf>
    <xf numFmtId="3" fontId="24" fillId="15" borderId="0" xfId="0" applyNumberFormat="1" applyFont="1" applyFill="1" applyAlignment="1">
      <alignment horizontal="center"/>
    </xf>
    <xf numFmtId="0" fontId="0" fillId="2" borderId="0" xfId="0" quotePrefix="1" applyFill="1"/>
    <xf numFmtId="3" fontId="24" fillId="12" borderId="0" xfId="0" applyNumberFormat="1" applyFont="1" applyFill="1" applyAlignment="1">
      <alignment horizontal="center"/>
    </xf>
    <xf numFmtId="0" fontId="32" fillId="0" borderId="0" xfId="0" applyFont="1" applyAlignment="1">
      <alignment horizontal="center"/>
    </xf>
    <xf numFmtId="0" fontId="32" fillId="0" borderId="0" xfId="0" applyFont="1"/>
    <xf numFmtId="0" fontId="24" fillId="0" borderId="0" xfId="0" applyFont="1" applyAlignment="1">
      <alignment horizontal="center"/>
    </xf>
    <xf numFmtId="0" fontId="24" fillId="0" borderId="0" xfId="0" applyFont="1"/>
    <xf numFmtId="0" fontId="32" fillId="16" borderId="0" xfId="0" applyFont="1" applyFill="1"/>
    <xf numFmtId="0" fontId="24" fillId="16" borderId="0" xfId="0" applyFont="1" applyFill="1"/>
    <xf numFmtId="0" fontId="32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33" fillId="2" borderId="0" xfId="0" applyFont="1" applyFill="1"/>
    <xf numFmtId="0" fontId="34" fillId="2" borderId="0" xfId="0" applyFont="1" applyFill="1" applyAlignment="1">
      <alignment horizontal="left"/>
    </xf>
    <xf numFmtId="3" fontId="0" fillId="7" borderId="29" xfId="0" applyNumberFormat="1" applyFill="1" applyBorder="1" applyAlignment="1" applyProtection="1">
      <alignment horizontal="center"/>
      <protection locked="0"/>
    </xf>
    <xf numFmtId="3" fontId="0" fillId="7" borderId="30" xfId="0" applyNumberFormat="1" applyFill="1" applyBorder="1" applyAlignment="1" applyProtection="1">
      <alignment horizontal="center"/>
      <protection locked="0"/>
    </xf>
    <xf numFmtId="3" fontId="0" fillId="7" borderId="31" xfId="0" applyNumberFormat="1" applyFill="1" applyBorder="1" applyAlignment="1" applyProtection="1">
      <alignment horizontal="center"/>
      <protection locked="0"/>
    </xf>
    <xf numFmtId="3" fontId="0" fillId="7" borderId="32" xfId="0" applyNumberFormat="1" applyFill="1" applyBorder="1" applyAlignment="1" applyProtection="1">
      <alignment horizontal="center"/>
      <protection locked="0"/>
    </xf>
    <xf numFmtId="3" fontId="0" fillId="7" borderId="33" xfId="0" applyNumberFormat="1" applyFill="1" applyBorder="1" applyAlignment="1" applyProtection="1">
      <alignment horizontal="center"/>
      <protection locked="0"/>
    </xf>
    <xf numFmtId="0" fontId="0" fillId="7" borderId="34" xfId="0" applyFill="1" applyBorder="1"/>
    <xf numFmtId="0" fontId="0" fillId="7" borderId="35" xfId="0" applyFill="1" applyBorder="1"/>
    <xf numFmtId="0" fontId="0" fillId="7" borderId="36" xfId="0" applyFill="1" applyBorder="1"/>
    <xf numFmtId="0" fontId="35" fillId="2" borderId="0" xfId="0" applyFont="1" applyFill="1" applyAlignment="1">
      <alignment horizontal="center"/>
    </xf>
    <xf numFmtId="0" fontId="35" fillId="2" borderId="0" xfId="0" applyFont="1" applyFill="1"/>
    <xf numFmtId="3" fontId="0" fillId="7" borderId="37" xfId="0" applyNumberFormat="1" applyFill="1" applyBorder="1" applyAlignment="1" applyProtection="1">
      <alignment horizontal="center"/>
      <protection locked="0"/>
    </xf>
    <xf numFmtId="3" fontId="0" fillId="7" borderId="38" xfId="0" applyNumberFormat="1" applyFill="1" applyBorder="1" applyAlignment="1" applyProtection="1">
      <alignment horizontal="center"/>
      <protection locked="0"/>
    </xf>
    <xf numFmtId="3" fontId="0" fillId="7" borderId="39" xfId="0" applyNumberFormat="1" applyFill="1" applyBorder="1" applyAlignment="1" applyProtection="1">
      <alignment horizontal="center"/>
      <protection locked="0"/>
    </xf>
    <xf numFmtId="3" fontId="5" fillId="3" borderId="0" xfId="0" applyNumberFormat="1" applyFont="1" applyFill="1"/>
    <xf numFmtId="169" fontId="5" fillId="3" borderId="40" xfId="0" applyNumberFormat="1" applyFont="1" applyFill="1" applyBorder="1"/>
    <xf numFmtId="0" fontId="5" fillId="3" borderId="41" xfId="0" applyFont="1" applyFill="1" applyBorder="1"/>
    <xf numFmtId="0" fontId="16" fillId="3" borderId="40" xfId="0" applyFont="1" applyFill="1" applyBorder="1"/>
    <xf numFmtId="0" fontId="16" fillId="3" borderId="42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/>
    </xf>
    <xf numFmtId="0" fontId="16" fillId="3" borderId="40" xfId="0" applyFont="1" applyFill="1" applyBorder="1" applyAlignment="1">
      <alignment horizontal="center"/>
    </xf>
    <xf numFmtId="0" fontId="36" fillId="3" borderId="43" xfId="0" applyFont="1" applyFill="1" applyBorder="1"/>
    <xf numFmtId="0" fontId="36" fillId="3" borderId="40" xfId="0" applyFont="1" applyFill="1" applyBorder="1"/>
    <xf numFmtId="0" fontId="5" fillId="3" borderId="40" xfId="0" applyFont="1" applyFill="1" applyBorder="1"/>
    <xf numFmtId="0" fontId="0" fillId="7" borderId="34" xfId="0" applyFill="1" applyBorder="1" applyProtection="1">
      <protection locked="0"/>
    </xf>
    <xf numFmtId="0" fontId="0" fillId="7" borderId="35" xfId="0" applyFill="1" applyBorder="1" applyProtection="1">
      <protection locked="0"/>
    </xf>
    <xf numFmtId="0" fontId="0" fillId="7" borderId="36" xfId="0" applyFill="1" applyBorder="1" applyProtection="1">
      <protection locked="0"/>
    </xf>
    <xf numFmtId="165" fontId="0" fillId="2" borderId="0" xfId="2" applyFont="1" applyFill="1"/>
    <xf numFmtId="3" fontId="27" fillId="3" borderId="10" xfId="0" applyNumberFormat="1" applyFont="1" applyFill="1" applyBorder="1"/>
    <xf numFmtId="3" fontId="27" fillId="3" borderId="6" xfId="0" applyNumberFormat="1" applyFont="1" applyFill="1" applyBorder="1"/>
    <xf numFmtId="3" fontId="27" fillId="3" borderId="11" xfId="0" applyNumberFormat="1" applyFont="1" applyFill="1" applyBorder="1"/>
    <xf numFmtId="3" fontId="27" fillId="3" borderId="12" xfId="0" applyNumberFormat="1" applyFont="1" applyFill="1" applyBorder="1"/>
    <xf numFmtId="3" fontId="27" fillId="3" borderId="7" xfId="0" applyNumberFormat="1" applyFont="1" applyFill="1" applyBorder="1"/>
    <xf numFmtId="3" fontId="25" fillId="13" borderId="44" xfId="0" applyNumberFormat="1" applyFont="1" applyFill="1" applyBorder="1" applyAlignment="1" applyProtection="1">
      <alignment horizontal="center"/>
      <protection hidden="1"/>
    </xf>
    <xf numFmtId="3" fontId="25" fillId="13" borderId="45" xfId="0" applyNumberFormat="1" applyFont="1" applyFill="1" applyBorder="1" applyAlignment="1" applyProtection="1">
      <alignment horizontal="center"/>
      <protection hidden="1"/>
    </xf>
    <xf numFmtId="0" fontId="38" fillId="2" borderId="0" xfId="0" applyFont="1" applyFill="1"/>
    <xf numFmtId="166" fontId="29" fillId="2" borderId="0" xfId="1" applyNumberFormat="1" applyFont="1" applyFill="1" applyAlignment="1">
      <alignment horizontal="center"/>
    </xf>
    <xf numFmtId="3" fontId="0" fillId="7" borderId="0" xfId="0" applyNumberFormat="1" applyFill="1" applyAlignment="1" applyProtection="1">
      <alignment horizontal="center"/>
      <protection locked="0"/>
    </xf>
    <xf numFmtId="166" fontId="0" fillId="7" borderId="0" xfId="1" applyNumberFormat="1" applyFont="1" applyFill="1" applyAlignment="1" applyProtection="1">
      <alignment horizontal="center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0" fontId="12" fillId="4" borderId="0" xfId="0" applyFont="1" applyFill="1" applyAlignment="1" applyProtection="1">
      <alignment horizontal="left"/>
      <protection locked="0"/>
    </xf>
    <xf numFmtId="0" fontId="12" fillId="4" borderId="1" xfId="0" applyFont="1" applyFill="1" applyBorder="1" applyAlignment="1" applyProtection="1">
      <alignment horizontal="left"/>
      <protection locked="0"/>
    </xf>
    <xf numFmtId="0" fontId="24" fillId="2" borderId="0" xfId="0" applyFont="1" applyFill="1"/>
    <xf numFmtId="0" fontId="24" fillId="2" borderId="0" xfId="0" applyFont="1" applyFill="1" applyProtection="1">
      <protection locked="0"/>
    </xf>
    <xf numFmtId="0" fontId="32" fillId="2" borderId="0" xfId="0" applyFont="1" applyFill="1"/>
    <xf numFmtId="0" fontId="33" fillId="0" borderId="0" xfId="0" applyFont="1"/>
    <xf numFmtId="170" fontId="33" fillId="0" borderId="0" xfId="4" applyNumberFormat="1" applyFont="1" applyFill="1" applyBorder="1"/>
    <xf numFmtId="0" fontId="30" fillId="0" borderId="0" xfId="0" applyFont="1"/>
    <xf numFmtId="165" fontId="33" fillId="0" borderId="0" xfId="4" applyFont="1" applyFill="1" applyBorder="1" applyAlignment="1">
      <alignment horizontal="left"/>
    </xf>
    <xf numFmtId="165" fontId="30" fillId="17" borderId="0" xfId="4" applyFont="1" applyFill="1" applyBorder="1"/>
    <xf numFmtId="170" fontId="30" fillId="17" borderId="0" xfId="4" applyNumberFormat="1" applyFont="1" applyFill="1" applyBorder="1"/>
    <xf numFmtId="0" fontId="33" fillId="0" borderId="50" xfId="0" applyFont="1" applyBorder="1"/>
    <xf numFmtId="170" fontId="33" fillId="0" borderId="0" xfId="4" applyNumberFormat="1" applyFont="1" applyFill="1" applyBorder="1" applyAlignment="1">
      <alignment horizontal="center"/>
    </xf>
    <xf numFmtId="170" fontId="33" fillId="0" borderId="27" xfId="4" applyNumberFormat="1" applyFont="1" applyFill="1" applyBorder="1" applyAlignment="1">
      <alignment horizontal="center"/>
    </xf>
    <xf numFmtId="14" fontId="33" fillId="0" borderId="0" xfId="0" applyNumberFormat="1" applyFont="1"/>
    <xf numFmtId="0" fontId="33" fillId="0" borderId="27" xfId="0" applyFont="1" applyBorder="1"/>
    <xf numFmtId="0" fontId="33" fillId="0" borderId="27" xfId="0" applyFont="1" applyBorder="1" applyAlignment="1">
      <alignment horizontal="center"/>
    </xf>
    <xf numFmtId="0" fontId="33" fillId="0" borderId="28" xfId="0" applyFont="1" applyBorder="1" applyAlignment="1">
      <alignment horizontal="center"/>
    </xf>
    <xf numFmtId="0" fontId="44" fillId="0" borderId="51" xfId="0" applyFont="1" applyBorder="1"/>
    <xf numFmtId="170" fontId="30" fillId="0" borderId="49" xfId="4" applyNumberFormat="1" applyFont="1" applyFill="1" applyBorder="1"/>
    <xf numFmtId="170" fontId="30" fillId="0" borderId="0" xfId="4" applyNumberFormat="1" applyFont="1" applyFill="1" applyBorder="1"/>
    <xf numFmtId="170" fontId="30" fillId="19" borderId="52" xfId="4" applyNumberFormat="1" applyFont="1" applyFill="1" applyBorder="1"/>
    <xf numFmtId="170" fontId="30" fillId="19" borderId="49" xfId="4" applyNumberFormat="1" applyFont="1" applyFill="1" applyBorder="1"/>
    <xf numFmtId="0" fontId="33" fillId="19" borderId="26" xfId="0" applyFont="1" applyFill="1" applyBorder="1"/>
    <xf numFmtId="170" fontId="30" fillId="19" borderId="27" xfId="4" applyNumberFormat="1" applyFont="1" applyFill="1" applyBorder="1"/>
    <xf numFmtId="170" fontId="30" fillId="19" borderId="28" xfId="4" applyNumberFormat="1" applyFont="1" applyFill="1" applyBorder="1"/>
    <xf numFmtId="0" fontId="30" fillId="0" borderId="10" xfId="0" applyFont="1" applyBorder="1"/>
    <xf numFmtId="170" fontId="30" fillId="0" borderId="10" xfId="4" applyNumberFormat="1" applyFont="1" applyFill="1" applyBorder="1"/>
    <xf numFmtId="3" fontId="30" fillId="0" borderId="49" xfId="0" applyNumberFormat="1" applyFont="1" applyBorder="1"/>
    <xf numFmtId="165" fontId="42" fillId="18" borderId="0" xfId="4" applyFont="1" applyFill="1" applyBorder="1"/>
    <xf numFmtId="3" fontId="30" fillId="0" borderId="51" xfId="0" applyNumberFormat="1" applyFont="1" applyBorder="1"/>
    <xf numFmtId="171" fontId="30" fillId="20" borderId="42" xfId="1" applyNumberFormat="1" applyFont="1" applyFill="1" applyBorder="1"/>
    <xf numFmtId="0" fontId="30" fillId="21" borderId="11" xfId="0" applyFont="1" applyFill="1" applyBorder="1"/>
    <xf numFmtId="170" fontId="30" fillId="21" borderId="11" xfId="4" applyNumberFormat="1" applyFont="1" applyFill="1" applyBorder="1"/>
    <xf numFmtId="3" fontId="30" fillId="0" borderId="0" xfId="0" applyNumberFormat="1" applyFont="1"/>
    <xf numFmtId="3" fontId="30" fillId="0" borderId="50" xfId="0" applyNumberFormat="1" applyFont="1" applyBorder="1"/>
    <xf numFmtId="0" fontId="30" fillId="0" borderId="11" xfId="0" applyFont="1" applyBorder="1"/>
    <xf numFmtId="170" fontId="30" fillId="0" borderId="11" xfId="4" applyNumberFormat="1" applyFont="1" applyFill="1" applyBorder="1"/>
    <xf numFmtId="0" fontId="33" fillId="21" borderId="16" xfId="0" applyFont="1" applyFill="1" applyBorder="1"/>
    <xf numFmtId="170" fontId="33" fillId="21" borderId="16" xfId="4" applyNumberFormat="1" applyFont="1" applyFill="1" applyBorder="1"/>
    <xf numFmtId="170" fontId="33" fillId="22" borderId="28" xfId="4" applyNumberFormat="1" applyFont="1" applyFill="1" applyBorder="1"/>
    <xf numFmtId="170" fontId="33" fillId="21" borderId="16" xfId="0" applyNumberFormat="1" applyFont="1" applyFill="1" applyBorder="1"/>
    <xf numFmtId="0" fontId="30" fillId="21" borderId="10" xfId="0" applyFont="1" applyFill="1" applyBorder="1"/>
    <xf numFmtId="170" fontId="30" fillId="21" borderId="10" xfId="4" applyNumberFormat="1" applyFont="1" applyFill="1" applyBorder="1"/>
    <xf numFmtId="0" fontId="30" fillId="0" borderId="50" xfId="0" applyFont="1" applyBorder="1"/>
    <xf numFmtId="170" fontId="30" fillId="21" borderId="11" xfId="0" applyNumberFormat="1" applyFont="1" applyFill="1" applyBorder="1"/>
    <xf numFmtId="170" fontId="30" fillId="0" borderId="11" xfId="0" applyNumberFormat="1" applyFont="1" applyBorder="1"/>
    <xf numFmtId="170" fontId="33" fillId="22" borderId="16" xfId="4" applyNumberFormat="1" applyFont="1" applyFill="1" applyBorder="1"/>
    <xf numFmtId="0" fontId="33" fillId="0" borderId="26" xfId="0" applyFont="1" applyBorder="1"/>
    <xf numFmtId="9" fontId="30" fillId="0" borderId="27" xfId="1" applyFont="1" applyFill="1" applyBorder="1"/>
    <xf numFmtId="170" fontId="30" fillId="0" borderId="27" xfId="4" applyNumberFormat="1" applyFont="1" applyFill="1" applyBorder="1"/>
    <xf numFmtId="3" fontId="30" fillId="0" borderId="27" xfId="0" applyNumberFormat="1" applyFont="1" applyBorder="1"/>
    <xf numFmtId="171" fontId="30" fillId="19" borderId="27" xfId="4" applyNumberFormat="1" applyFont="1" applyFill="1" applyBorder="1"/>
    <xf numFmtId="0" fontId="30" fillId="21" borderId="51" xfId="0" applyFont="1" applyFill="1" applyBorder="1"/>
    <xf numFmtId="3" fontId="30" fillId="0" borderId="52" xfId="0" applyNumberFormat="1" applyFont="1" applyBorder="1"/>
    <xf numFmtId="3" fontId="30" fillId="0" borderId="42" xfId="0" applyNumberFormat="1" applyFont="1" applyBorder="1"/>
    <xf numFmtId="0" fontId="33" fillId="21" borderId="26" xfId="0" applyFont="1" applyFill="1" applyBorder="1"/>
    <xf numFmtId="170" fontId="33" fillId="21" borderId="28" xfId="4" applyNumberFormat="1" applyFont="1" applyFill="1" applyBorder="1"/>
    <xf numFmtId="170" fontId="30" fillId="21" borderId="51" xfId="4" applyNumberFormat="1" applyFont="1" applyFill="1" applyBorder="1"/>
    <xf numFmtId="170" fontId="30" fillId="0" borderId="50" xfId="4" applyNumberFormat="1" applyFont="1" applyFill="1" applyBorder="1"/>
    <xf numFmtId="170" fontId="33" fillId="22" borderId="42" xfId="4" applyNumberFormat="1" applyFont="1" applyFill="1" applyBorder="1"/>
    <xf numFmtId="9" fontId="30" fillId="20" borderId="42" xfId="1" applyFont="1" applyFill="1" applyBorder="1"/>
    <xf numFmtId="170" fontId="33" fillId="0" borderId="27" xfId="4" applyNumberFormat="1" applyFont="1" applyFill="1" applyBorder="1"/>
    <xf numFmtId="3" fontId="33" fillId="0" borderId="27" xfId="0" applyNumberFormat="1" applyFont="1" applyBorder="1"/>
    <xf numFmtId="171" fontId="30" fillId="0" borderId="49" xfId="0" applyNumberFormat="1" applyFont="1" applyBorder="1"/>
    <xf numFmtId="0" fontId="45" fillId="19" borderId="26" xfId="0" applyFont="1" applyFill="1" applyBorder="1"/>
    <xf numFmtId="170" fontId="46" fillId="19" borderId="27" xfId="4" applyNumberFormat="1" applyFont="1" applyFill="1" applyBorder="1"/>
    <xf numFmtId="171" fontId="46" fillId="19" borderId="27" xfId="4" applyNumberFormat="1" applyFont="1" applyFill="1" applyBorder="1"/>
    <xf numFmtId="0" fontId="46" fillId="19" borderId="27" xfId="0" applyFont="1" applyFill="1" applyBorder="1"/>
    <xf numFmtId="0" fontId="46" fillId="19" borderId="28" xfId="0" applyFont="1" applyFill="1" applyBorder="1"/>
    <xf numFmtId="0" fontId="46" fillId="0" borderId="0" xfId="0" applyFont="1"/>
    <xf numFmtId="170" fontId="30" fillId="21" borderId="50" xfId="4" applyNumberFormat="1" applyFont="1" applyFill="1" applyBorder="1"/>
    <xf numFmtId="170" fontId="30" fillId="0" borderId="51" xfId="4" applyNumberFormat="1" applyFont="1" applyFill="1" applyBorder="1"/>
    <xf numFmtId="170" fontId="30" fillId="0" borderId="52" xfId="4" applyNumberFormat="1" applyFont="1" applyFill="1" applyBorder="1"/>
    <xf numFmtId="170" fontId="30" fillId="0" borderId="42" xfId="4" applyNumberFormat="1" applyFont="1" applyFill="1" applyBorder="1"/>
    <xf numFmtId="170" fontId="33" fillId="21" borderId="26" xfId="4" applyNumberFormat="1" applyFont="1" applyFill="1" applyBorder="1"/>
    <xf numFmtId="170" fontId="33" fillId="0" borderId="28" xfId="4" applyNumberFormat="1" applyFont="1" applyFill="1" applyBorder="1"/>
    <xf numFmtId="171" fontId="33" fillId="20" borderId="28" xfId="0" applyNumberFormat="1" applyFont="1" applyFill="1" applyBorder="1"/>
    <xf numFmtId="170" fontId="33" fillId="0" borderId="26" xfId="4" applyNumberFormat="1" applyFont="1" applyFill="1" applyBorder="1"/>
    <xf numFmtId="171" fontId="30" fillId="0" borderId="27" xfId="0" applyNumberFormat="1" applyFont="1" applyBorder="1"/>
    <xf numFmtId="0" fontId="47" fillId="19" borderId="26" xfId="0" applyFont="1" applyFill="1" applyBorder="1"/>
    <xf numFmtId="0" fontId="33" fillId="21" borderId="10" xfId="0" applyFont="1" applyFill="1" applyBorder="1"/>
    <xf numFmtId="170" fontId="33" fillId="21" borderId="51" xfId="4" applyNumberFormat="1" applyFont="1" applyFill="1" applyBorder="1"/>
    <xf numFmtId="3" fontId="33" fillId="0" borderId="49" xfId="0" applyNumberFormat="1" applyFont="1" applyBorder="1"/>
    <xf numFmtId="3" fontId="33" fillId="0" borderId="52" xfId="0" applyNumberFormat="1" applyFont="1" applyBorder="1"/>
    <xf numFmtId="165" fontId="43" fillId="18" borderId="0" xfId="4" applyFont="1" applyFill="1" applyBorder="1"/>
    <xf numFmtId="3" fontId="33" fillId="0" borderId="51" xfId="0" applyNumberFormat="1" applyFont="1" applyBorder="1"/>
    <xf numFmtId="171" fontId="33" fillId="20" borderId="42" xfId="1" applyNumberFormat="1" applyFont="1" applyFill="1" applyBorder="1"/>
    <xf numFmtId="170" fontId="33" fillId="21" borderId="52" xfId="4" applyNumberFormat="1" applyFont="1" applyFill="1" applyBorder="1"/>
    <xf numFmtId="0" fontId="33" fillId="21" borderId="11" xfId="0" applyFont="1" applyFill="1" applyBorder="1"/>
    <xf numFmtId="170" fontId="33" fillId="21" borderId="50" xfId="4" applyNumberFormat="1" applyFont="1" applyFill="1" applyBorder="1"/>
    <xf numFmtId="3" fontId="33" fillId="0" borderId="0" xfId="0" applyNumberFormat="1" applyFont="1"/>
    <xf numFmtId="3" fontId="33" fillId="0" borderId="42" xfId="0" applyNumberFormat="1" applyFont="1" applyBorder="1"/>
    <xf numFmtId="3" fontId="33" fillId="0" borderId="50" xfId="0" applyNumberFormat="1" applyFont="1" applyBorder="1"/>
    <xf numFmtId="170" fontId="33" fillId="21" borderId="42" xfId="4" applyNumberFormat="1" applyFont="1" applyFill="1" applyBorder="1"/>
    <xf numFmtId="170" fontId="33" fillId="21" borderId="11" xfId="4" applyNumberFormat="1" applyFont="1" applyFill="1" applyBorder="1"/>
    <xf numFmtId="170" fontId="33" fillId="0" borderId="50" xfId="4" applyNumberFormat="1" applyFont="1" applyFill="1" applyBorder="1"/>
    <xf numFmtId="170" fontId="33" fillId="0" borderId="42" xfId="4" applyNumberFormat="1" applyFont="1" applyFill="1" applyBorder="1"/>
    <xf numFmtId="170" fontId="33" fillId="0" borderId="0" xfId="0" applyNumberFormat="1" applyFont="1"/>
    <xf numFmtId="170" fontId="33" fillId="21" borderId="26" xfId="0" applyNumberFormat="1" applyFont="1" applyFill="1" applyBorder="1"/>
    <xf numFmtId="170" fontId="33" fillId="21" borderId="28" xfId="0" applyNumberFormat="1" applyFont="1" applyFill="1" applyBorder="1"/>
    <xf numFmtId="0" fontId="46" fillId="19" borderId="27" xfId="4" applyNumberFormat="1" applyFont="1" applyFill="1" applyBorder="1" applyAlignment="1">
      <alignment horizontal="center"/>
    </xf>
    <xf numFmtId="0" fontId="46" fillId="19" borderId="28" xfId="4" applyNumberFormat="1" applyFont="1" applyFill="1" applyBorder="1" applyAlignment="1">
      <alignment horizontal="center"/>
    </xf>
    <xf numFmtId="170" fontId="33" fillId="0" borderId="11" xfId="4" applyNumberFormat="1" applyFont="1" applyFill="1" applyBorder="1"/>
    <xf numFmtId="0" fontId="33" fillId="0" borderId="42" xfId="0" applyFont="1" applyBorder="1"/>
    <xf numFmtId="0" fontId="33" fillId="18" borderId="0" xfId="0" applyFont="1" applyFill="1"/>
    <xf numFmtId="9" fontId="30" fillId="0" borderId="50" xfId="1" applyFont="1" applyFill="1" applyBorder="1"/>
    <xf numFmtId="9" fontId="30" fillId="0" borderId="11" xfId="1" applyFont="1" applyFill="1" applyBorder="1"/>
    <xf numFmtId="9" fontId="30" fillId="0" borderId="0" xfId="1" applyFont="1" applyFill="1" applyBorder="1"/>
    <xf numFmtId="9" fontId="30" fillId="0" borderId="42" xfId="1" applyFont="1" applyFill="1" applyBorder="1"/>
    <xf numFmtId="165" fontId="30" fillId="0" borderId="0" xfId="2" applyFont="1" applyFill="1" applyBorder="1"/>
    <xf numFmtId="9" fontId="33" fillId="0" borderId="50" xfId="1" applyFont="1" applyFill="1" applyBorder="1"/>
    <xf numFmtId="9" fontId="33" fillId="0" borderId="11" xfId="1" applyFont="1" applyFill="1" applyBorder="1"/>
    <xf numFmtId="172" fontId="33" fillId="0" borderId="0" xfId="0" applyNumberFormat="1" applyFont="1"/>
    <xf numFmtId="165" fontId="30" fillId="0" borderId="11" xfId="4" applyFont="1" applyFill="1" applyBorder="1"/>
    <xf numFmtId="165" fontId="30" fillId="0" borderId="42" xfId="4" applyFont="1" applyFill="1" applyBorder="1"/>
    <xf numFmtId="165" fontId="33" fillId="0" borderId="50" xfId="4" applyFont="1" applyFill="1" applyBorder="1"/>
    <xf numFmtId="165" fontId="33" fillId="0" borderId="11" xfId="4" applyFont="1" applyFill="1" applyBorder="1"/>
    <xf numFmtId="165" fontId="33" fillId="0" borderId="0" xfId="4" applyFont="1" applyFill="1" applyBorder="1"/>
    <xf numFmtId="165" fontId="30" fillId="0" borderId="50" xfId="4" applyFont="1" applyFill="1" applyBorder="1"/>
    <xf numFmtId="165" fontId="30" fillId="0" borderId="0" xfId="4" applyFont="1" applyFill="1" applyBorder="1"/>
    <xf numFmtId="167" fontId="30" fillId="0" borderId="50" xfId="1" applyNumberFormat="1" applyFont="1" applyFill="1" applyBorder="1"/>
    <xf numFmtId="167" fontId="30" fillId="0" borderId="11" xfId="1" applyNumberFormat="1" applyFont="1" applyFill="1" applyBorder="1"/>
    <xf numFmtId="166" fontId="30" fillId="0" borderId="11" xfId="1" applyNumberFormat="1" applyFont="1" applyFill="1" applyBorder="1"/>
    <xf numFmtId="166" fontId="30" fillId="0" borderId="0" xfId="1" applyNumberFormat="1" applyFont="1" applyFill="1" applyBorder="1"/>
    <xf numFmtId="166" fontId="30" fillId="0" borderId="50" xfId="1" applyNumberFormat="1" applyFont="1" applyFill="1" applyBorder="1"/>
    <xf numFmtId="166" fontId="33" fillId="0" borderId="50" xfId="1" applyNumberFormat="1" applyFont="1" applyFill="1" applyBorder="1"/>
    <xf numFmtId="166" fontId="33" fillId="0" borderId="11" xfId="1" applyNumberFormat="1" applyFont="1" applyFill="1" applyBorder="1"/>
    <xf numFmtId="2" fontId="30" fillId="0" borderId="50" xfId="1" applyNumberFormat="1" applyFont="1" applyFill="1" applyBorder="1"/>
    <xf numFmtId="2" fontId="30" fillId="0" borderId="11" xfId="1" applyNumberFormat="1" applyFont="1" applyFill="1" applyBorder="1"/>
    <xf numFmtId="165" fontId="30" fillId="0" borderId="50" xfId="1" applyNumberFormat="1" applyFont="1" applyFill="1" applyBorder="1"/>
    <xf numFmtId="165" fontId="30" fillId="0" borderId="11" xfId="1" applyNumberFormat="1" applyFont="1" applyFill="1" applyBorder="1"/>
    <xf numFmtId="1" fontId="30" fillId="0" borderId="0" xfId="0" applyNumberFormat="1" applyFont="1"/>
    <xf numFmtId="165" fontId="30" fillId="0" borderId="0" xfId="0" applyNumberFormat="1" applyFont="1"/>
    <xf numFmtId="170" fontId="30" fillId="0" borderId="0" xfId="4" applyNumberFormat="1" applyFont="1" applyFill="1" applyBorder="1" applyAlignment="1">
      <alignment horizontal="right"/>
    </xf>
    <xf numFmtId="173" fontId="30" fillId="0" borderId="0" xfId="0" applyNumberFormat="1" applyFont="1"/>
    <xf numFmtId="0" fontId="48" fillId="9" borderId="0" xfId="0" applyFont="1" applyFill="1"/>
    <xf numFmtId="0" fontId="0" fillId="9" borderId="0" xfId="0" applyFill="1"/>
    <xf numFmtId="0" fontId="43" fillId="9" borderId="0" xfId="0" applyFont="1" applyFill="1"/>
    <xf numFmtId="0" fontId="42" fillId="9" borderId="0" xfId="0" applyFont="1" applyFill="1"/>
    <xf numFmtId="0" fontId="49" fillId="9" borderId="0" xfId="0" applyFont="1" applyFill="1"/>
    <xf numFmtId="174" fontId="48" fillId="9" borderId="0" xfId="0" applyNumberFormat="1" applyFont="1" applyFill="1"/>
    <xf numFmtId="0" fontId="50" fillId="9" borderId="0" xfId="0" applyFont="1" applyFill="1"/>
    <xf numFmtId="0" fontId="48" fillId="9" borderId="57" xfId="0" applyFont="1" applyFill="1" applyBorder="1"/>
    <xf numFmtId="0" fontId="48" fillId="9" borderId="1" xfId="0" applyFont="1" applyFill="1" applyBorder="1"/>
    <xf numFmtId="175" fontId="48" fillId="9" borderId="0" xfId="6" applyNumberFormat="1" applyFont="1" applyFill="1" applyProtection="1"/>
    <xf numFmtId="175" fontId="50" fillId="9" borderId="0" xfId="0" applyNumberFormat="1" applyFont="1" applyFill="1"/>
    <xf numFmtId="0" fontId="48" fillId="9" borderId="58" xfId="0" applyFont="1" applyFill="1" applyBorder="1" applyProtection="1">
      <protection locked="0"/>
    </xf>
    <xf numFmtId="0" fontId="50" fillId="9" borderId="0" xfId="0" applyFont="1" applyFill="1" applyAlignment="1">
      <alignment horizontal="center"/>
    </xf>
    <xf numFmtId="15" fontId="50" fillId="9" borderId="59" xfId="0" applyNumberFormat="1" applyFont="1" applyFill="1" applyBorder="1" applyAlignment="1" applyProtection="1">
      <alignment horizontal="center"/>
      <protection locked="0"/>
    </xf>
    <xf numFmtId="14" fontId="50" fillId="9" borderId="0" xfId="0" applyNumberFormat="1" applyFont="1" applyFill="1" applyAlignment="1">
      <alignment horizontal="center"/>
    </xf>
    <xf numFmtId="0" fontId="48" fillId="9" borderId="58" xfId="0" quotePrefix="1" applyFont="1" applyFill="1" applyBorder="1" applyProtection="1">
      <protection locked="0"/>
    </xf>
    <xf numFmtId="0" fontId="51" fillId="9" borderId="0" xfId="0" applyFont="1" applyFill="1" applyAlignment="1">
      <alignment horizontal="center"/>
    </xf>
    <xf numFmtId="0" fontId="52" fillId="9" borderId="0" xfId="0" applyFont="1" applyFill="1" applyAlignment="1">
      <alignment horizontal="center"/>
    </xf>
    <xf numFmtId="0" fontId="53" fillId="9" borderId="58" xfId="0" applyFont="1" applyFill="1" applyBorder="1" applyAlignment="1" applyProtection="1">
      <alignment horizontal="center"/>
      <protection locked="0"/>
    </xf>
    <xf numFmtId="0" fontId="54" fillId="9" borderId="0" xfId="0" applyFont="1" applyFill="1" applyAlignment="1">
      <alignment horizontal="center"/>
    </xf>
    <xf numFmtId="0" fontId="53" fillId="9" borderId="0" xfId="0" applyFont="1" applyFill="1" applyAlignment="1">
      <alignment horizontal="center"/>
    </xf>
    <xf numFmtId="38" fontId="48" fillId="9" borderId="58" xfId="0" applyNumberFormat="1" applyFont="1" applyFill="1" applyBorder="1" applyProtection="1">
      <protection locked="0"/>
    </xf>
    <xf numFmtId="10" fontId="55" fillId="9" borderId="0" xfId="0" applyNumberFormat="1" applyFont="1" applyFill="1" applyAlignment="1">
      <alignment horizontal="right"/>
    </xf>
    <xf numFmtId="38" fontId="48" fillId="9" borderId="60" xfId="0" applyNumberFormat="1" applyFont="1" applyFill="1" applyBorder="1"/>
    <xf numFmtId="38" fontId="48" fillId="9" borderId="61" xfId="0" applyNumberFormat="1" applyFont="1" applyFill="1" applyBorder="1"/>
    <xf numFmtId="176" fontId="48" fillId="9" borderId="0" xfId="0" applyNumberFormat="1" applyFont="1" applyFill="1"/>
    <xf numFmtId="38" fontId="48" fillId="9" borderId="0" xfId="0" applyNumberFormat="1" applyFont="1" applyFill="1"/>
    <xf numFmtId="0" fontId="50" fillId="9" borderId="0" xfId="0" applyFont="1" applyFill="1" applyAlignment="1">
      <alignment horizontal="right"/>
    </xf>
    <xf numFmtId="38" fontId="48" fillId="23" borderId="58" xfId="0" applyNumberFormat="1" applyFont="1" applyFill="1" applyBorder="1"/>
    <xf numFmtId="0" fontId="53" fillId="23" borderId="59" xfId="0" applyFont="1" applyFill="1" applyBorder="1"/>
    <xf numFmtId="0" fontId="48" fillId="23" borderId="62" xfId="0" applyFont="1" applyFill="1" applyBorder="1"/>
    <xf numFmtId="0" fontId="0" fillId="9" borderId="0" xfId="0" applyFill="1" applyProtection="1">
      <protection locked="0"/>
    </xf>
    <xf numFmtId="0" fontId="50" fillId="9" borderId="59" xfId="0" applyFont="1" applyFill="1" applyBorder="1"/>
    <xf numFmtId="0" fontId="48" fillId="9" borderId="62" xfId="0" applyFont="1" applyFill="1" applyBorder="1"/>
    <xf numFmtId="0" fontId="48" fillId="9" borderId="63" xfId="0" applyFont="1" applyFill="1" applyBorder="1"/>
    <xf numFmtId="0" fontId="48" fillId="23" borderId="0" xfId="0" applyFont="1" applyFill="1"/>
    <xf numFmtId="0" fontId="50" fillId="23" borderId="0" xfId="0" applyFont="1" applyFill="1" applyAlignment="1">
      <alignment horizontal="centerContinuous"/>
    </xf>
    <xf numFmtId="0" fontId="48" fillId="9" borderId="58" xfId="0" applyFont="1" applyFill="1" applyBorder="1" applyAlignment="1">
      <alignment horizontal="center"/>
    </xf>
    <xf numFmtId="0" fontId="48" fillId="9" borderId="0" xfId="0" applyFont="1" applyFill="1" applyAlignment="1">
      <alignment horizontal="center"/>
    </xf>
    <xf numFmtId="2" fontId="48" fillId="9" borderId="58" xfId="0" applyNumberFormat="1" applyFont="1" applyFill="1" applyBorder="1" applyAlignment="1">
      <alignment horizontal="center"/>
    </xf>
    <xf numFmtId="2" fontId="48" fillId="9" borderId="0" xfId="0" applyNumberFormat="1" applyFont="1" applyFill="1" applyAlignment="1">
      <alignment horizontal="center"/>
    </xf>
    <xf numFmtId="1" fontId="48" fillId="9" borderId="58" xfId="0" applyNumberFormat="1" applyFont="1" applyFill="1" applyBorder="1" applyAlignment="1">
      <alignment horizontal="center"/>
    </xf>
    <xf numFmtId="1" fontId="48" fillId="9" borderId="0" xfId="0" applyNumberFormat="1" applyFont="1" applyFill="1" applyAlignment="1">
      <alignment horizontal="center"/>
    </xf>
    <xf numFmtId="0" fontId="56" fillId="9" borderId="0" xfId="0" applyFont="1" applyFill="1"/>
    <xf numFmtId="3" fontId="48" fillId="9" borderId="58" xfId="0" applyNumberFormat="1" applyFont="1" applyFill="1" applyBorder="1" applyAlignment="1">
      <alignment horizontal="center"/>
    </xf>
    <xf numFmtId="3" fontId="48" fillId="9" borderId="0" xfId="0" applyNumberFormat="1" applyFont="1" applyFill="1" applyAlignment="1">
      <alignment horizontal="center"/>
    </xf>
    <xf numFmtId="2" fontId="48" fillId="9" borderId="54" xfId="0" applyNumberFormat="1" applyFont="1" applyFill="1" applyBorder="1" applyAlignment="1">
      <alignment horizontal="center"/>
    </xf>
    <xf numFmtId="1" fontId="48" fillId="23" borderId="0" xfId="0" applyNumberFormat="1" applyFont="1" applyFill="1"/>
    <xf numFmtId="0" fontId="48" fillId="9" borderId="58" xfId="0" applyFont="1" applyFill="1" applyBorder="1"/>
    <xf numFmtId="1" fontId="48" fillId="9" borderId="0" xfId="0" applyNumberFormat="1" applyFont="1" applyFill="1"/>
    <xf numFmtId="0" fontId="48" fillId="9" borderId="0" xfId="0" applyFont="1" applyFill="1" applyAlignment="1">
      <alignment horizontal="centerContinuous"/>
    </xf>
    <xf numFmtId="0" fontId="57" fillId="9" borderId="0" xfId="0" applyFont="1" applyFill="1" applyAlignment="1">
      <alignment vertical="center"/>
    </xf>
    <xf numFmtId="0" fontId="57" fillId="9" borderId="0" xfId="0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0" fillId="0" borderId="0" xfId="0" applyAlignment="1">
      <alignment vertical="center"/>
    </xf>
    <xf numFmtId="0" fontId="31" fillId="9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57" fillId="24" borderId="67" xfId="0" applyFont="1" applyFill="1" applyBorder="1" applyAlignment="1">
      <alignment vertical="center"/>
    </xf>
    <xf numFmtId="0" fontId="58" fillId="25" borderId="0" xfId="0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0" fontId="57" fillId="24" borderId="60" xfId="0" applyFont="1" applyFill="1" applyBorder="1" applyAlignment="1">
      <alignment vertical="center"/>
    </xf>
    <xf numFmtId="0" fontId="59" fillId="25" borderId="0" xfId="0" quotePrefix="1" applyFont="1" applyFill="1" applyAlignment="1">
      <alignment vertical="center"/>
    </xf>
    <xf numFmtId="0" fontId="59" fillId="25" borderId="0" xfId="0" applyFont="1" applyFill="1" applyAlignment="1">
      <alignment vertical="center"/>
    </xf>
    <xf numFmtId="0" fontId="57" fillId="24" borderId="61" xfId="0" applyFont="1" applyFill="1" applyBorder="1" applyAlignment="1">
      <alignment vertical="center"/>
    </xf>
    <xf numFmtId="0" fontId="60" fillId="9" borderId="0" xfId="0" applyFont="1" applyFill="1" applyAlignment="1">
      <alignment vertical="center"/>
    </xf>
    <xf numFmtId="0" fontId="58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58" fillId="9" borderId="59" xfId="0" applyFont="1" applyFill="1" applyBorder="1" applyAlignment="1">
      <alignment horizontal="center" vertical="center"/>
    </xf>
    <xf numFmtId="0" fontId="0" fillId="9" borderId="62" xfId="0" applyFill="1" applyBorder="1" applyAlignment="1">
      <alignment horizontal="left" vertical="center"/>
    </xf>
    <xf numFmtId="0" fontId="0" fillId="9" borderId="62" xfId="0" applyFill="1" applyBorder="1" applyAlignment="1">
      <alignment vertical="center"/>
    </xf>
    <xf numFmtId="0" fontId="0" fillId="9" borderId="63" xfId="0" applyFill="1" applyBorder="1" applyAlignment="1">
      <alignment vertical="center"/>
    </xf>
    <xf numFmtId="0" fontId="31" fillId="9" borderId="57" xfId="0" applyFont="1" applyFill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0" fontId="31" fillId="9" borderId="1" xfId="0" applyFont="1" applyFill="1" applyBorder="1" applyAlignment="1">
      <alignment vertical="center"/>
    </xf>
    <xf numFmtId="0" fontId="0" fillId="9" borderId="57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31" fillId="9" borderId="57" xfId="0" applyFont="1" applyFill="1" applyBorder="1" applyAlignment="1">
      <alignment vertical="center"/>
    </xf>
    <xf numFmtId="0" fontId="0" fillId="9" borderId="66" xfId="0" applyFill="1" applyBorder="1" applyAlignment="1">
      <alignment vertical="center"/>
    </xf>
    <xf numFmtId="0" fontId="0" fillId="9" borderId="64" xfId="0" applyFill="1" applyBorder="1" applyAlignment="1">
      <alignment vertical="center"/>
    </xf>
    <xf numFmtId="0" fontId="0" fillId="9" borderId="65" xfId="0" applyFill="1" applyBorder="1" applyAlignment="1">
      <alignment vertical="center"/>
    </xf>
    <xf numFmtId="0" fontId="0" fillId="0" borderId="49" xfId="0" applyBorder="1" applyAlignment="1">
      <alignment vertical="center"/>
    </xf>
    <xf numFmtId="14" fontId="33" fillId="0" borderId="53" xfId="0" applyNumberFormat="1" applyFont="1" applyBorder="1"/>
    <xf numFmtId="14" fontId="33" fillId="18" borderId="53" xfId="0" applyNumberFormat="1" applyFont="1" applyFill="1" applyBorder="1"/>
    <xf numFmtId="15" fontId="33" fillId="0" borderId="53" xfId="4" applyNumberFormat="1" applyFont="1" applyFill="1" applyBorder="1" applyAlignment="1">
      <alignment horizontal="center"/>
    </xf>
    <xf numFmtId="0" fontId="30" fillId="0" borderId="68" xfId="0" applyFont="1" applyBorder="1"/>
    <xf numFmtId="170" fontId="30" fillId="0" borderId="69" xfId="4" applyNumberFormat="1" applyFont="1" applyFill="1" applyBorder="1"/>
    <xf numFmtId="3" fontId="30" fillId="0" borderId="70" xfId="0" applyNumberFormat="1" applyFont="1" applyBorder="1"/>
    <xf numFmtId="3" fontId="30" fillId="0" borderId="71" xfId="0" applyNumberFormat="1" applyFont="1" applyBorder="1"/>
    <xf numFmtId="3" fontId="30" fillId="0" borderId="69" xfId="0" applyNumberFormat="1" applyFont="1" applyBorder="1"/>
    <xf numFmtId="170" fontId="33" fillId="21" borderId="71" xfId="4" applyNumberFormat="1" applyFont="1" applyFill="1" applyBorder="1"/>
    <xf numFmtId="0" fontId="33" fillId="0" borderId="68" xfId="0" applyFont="1" applyBorder="1"/>
    <xf numFmtId="170" fontId="33" fillId="0" borderId="70" xfId="4" applyNumberFormat="1" applyFont="1" applyFill="1" applyBorder="1"/>
    <xf numFmtId="3" fontId="33" fillId="0" borderId="70" xfId="0" applyNumberFormat="1" applyFont="1" applyBorder="1"/>
    <xf numFmtId="3" fontId="33" fillId="18" borderId="70" xfId="0" applyNumberFormat="1" applyFont="1" applyFill="1" applyBorder="1"/>
    <xf numFmtId="9" fontId="30" fillId="0" borderId="68" xfId="1" applyFont="1" applyFill="1" applyBorder="1"/>
    <xf numFmtId="9" fontId="30" fillId="0" borderId="71" xfId="1" applyFont="1" applyFill="1" applyBorder="1"/>
    <xf numFmtId="9" fontId="30" fillId="0" borderId="69" xfId="1" applyFont="1" applyFill="1" applyBorder="1"/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 wrapText="1"/>
    </xf>
    <xf numFmtId="0" fontId="62" fillId="17" borderId="0" xfId="0" applyFont="1" applyFill="1" applyAlignment="1">
      <alignment vertical="center"/>
    </xf>
    <xf numFmtId="0" fontId="62" fillId="0" borderId="51" xfId="0" applyFont="1" applyBorder="1" applyAlignment="1">
      <alignment vertical="center"/>
    </xf>
    <xf numFmtId="0" fontId="62" fillId="0" borderId="72" xfId="0" applyFont="1" applyBorder="1" applyAlignment="1">
      <alignment vertical="center"/>
    </xf>
    <xf numFmtId="0" fontId="62" fillId="0" borderId="75" xfId="0" applyFont="1" applyBorder="1" applyAlignment="1">
      <alignment vertical="center"/>
    </xf>
    <xf numFmtId="0" fontId="63" fillId="0" borderId="76" xfId="0" applyFont="1" applyBorder="1" applyAlignment="1">
      <alignment horizontal="center" vertical="center"/>
    </xf>
    <xf numFmtId="0" fontId="62" fillId="0" borderId="77" xfId="0" applyFont="1" applyBorder="1" applyAlignment="1">
      <alignment vertical="center"/>
    </xf>
    <xf numFmtId="0" fontId="62" fillId="0" borderId="50" xfId="0" applyFont="1" applyBorder="1" applyAlignment="1">
      <alignment vertical="center"/>
    </xf>
    <xf numFmtId="0" fontId="62" fillId="0" borderId="42" xfId="0" applyFont="1" applyBorder="1" applyAlignment="1">
      <alignment vertical="center"/>
    </xf>
    <xf numFmtId="2" fontId="62" fillId="0" borderId="0" xfId="0" applyNumberFormat="1" applyFont="1" applyAlignment="1">
      <alignment horizontal="center" vertical="center" wrapText="1"/>
    </xf>
    <xf numFmtId="0" fontId="62" fillId="17" borderId="0" xfId="0" applyFont="1" applyFill="1" applyAlignment="1">
      <alignment horizontal="center" vertical="center" wrapText="1"/>
    </xf>
    <xf numFmtId="0" fontId="62" fillId="0" borderId="50" xfId="0" applyFont="1" applyBorder="1" applyAlignment="1">
      <alignment horizontal="center" vertical="center"/>
    </xf>
    <xf numFmtId="0" fontId="62" fillId="0" borderId="78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 wrapText="1"/>
    </xf>
    <xf numFmtId="0" fontId="62" fillId="0" borderId="0" xfId="0" applyFont="1" applyAlignment="1">
      <alignment vertical="center" shrinkToFit="1"/>
    </xf>
    <xf numFmtId="0" fontId="62" fillId="0" borderId="71" xfId="0" applyFont="1" applyBorder="1" applyAlignment="1">
      <alignment horizontal="center" vertical="center" wrapText="1"/>
    </xf>
    <xf numFmtId="43" fontId="62" fillId="0" borderId="0" xfId="2" applyNumberFormat="1" applyFont="1" applyFill="1" applyBorder="1" applyAlignment="1">
      <alignment horizontal="center" vertical="center"/>
    </xf>
    <xf numFmtId="0" fontId="62" fillId="0" borderId="73" xfId="0" applyFont="1" applyBorder="1" applyAlignment="1">
      <alignment horizontal="center" vertical="center" wrapText="1"/>
    </xf>
    <xf numFmtId="0" fontId="62" fillId="0" borderId="72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52" xfId="0" applyFont="1" applyBorder="1" applyAlignment="1">
      <alignment horizontal="center" vertical="center" wrapText="1"/>
    </xf>
    <xf numFmtId="0" fontId="64" fillId="0" borderId="74" xfId="0" applyFont="1" applyBorder="1" applyAlignment="1">
      <alignment horizontal="center" vertical="center"/>
    </xf>
    <xf numFmtId="9" fontId="62" fillId="0" borderId="0" xfId="0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76" xfId="0" applyFont="1" applyBorder="1" applyAlignment="1">
      <alignment horizontal="center" vertical="center"/>
    </xf>
    <xf numFmtId="9" fontId="62" fillId="0" borderId="0" xfId="1" applyFont="1" applyFill="1" applyBorder="1" applyAlignment="1">
      <alignment horizontal="center" vertical="center" wrapText="1"/>
    </xf>
    <xf numFmtId="0" fontId="62" fillId="26" borderId="0" xfId="0" applyFont="1" applyFill="1" applyAlignment="1">
      <alignment horizontal="center" vertical="center"/>
    </xf>
    <xf numFmtId="0" fontId="62" fillId="0" borderId="51" xfId="0" applyFont="1" applyBorder="1" applyAlignment="1">
      <alignment horizontal="center" vertical="center"/>
    </xf>
    <xf numFmtId="0" fontId="62" fillId="0" borderId="49" xfId="0" applyFont="1" applyBorder="1" applyAlignment="1">
      <alignment horizontal="center" vertical="center" wrapText="1"/>
    </xf>
    <xf numFmtId="0" fontId="62" fillId="0" borderId="77" xfId="0" applyFont="1" applyBorder="1" applyAlignment="1">
      <alignment horizontal="center" vertical="center" wrapText="1"/>
    </xf>
    <xf numFmtId="0" fontId="62" fillId="0" borderId="0" xfId="0" applyFont="1" applyAlignment="1">
      <alignment horizontal="right" vertical="center" wrapText="1"/>
    </xf>
    <xf numFmtId="0" fontId="62" fillId="0" borderId="50" xfId="0" applyFont="1" applyBorder="1" applyAlignment="1">
      <alignment horizontal="center" vertical="center" wrapText="1"/>
    </xf>
    <xf numFmtId="0" fontId="62" fillId="0" borderId="42" xfId="0" applyFont="1" applyBorder="1" applyAlignment="1">
      <alignment horizontal="center" vertical="center"/>
    </xf>
    <xf numFmtId="0" fontId="62" fillId="0" borderId="69" xfId="0" applyFont="1" applyBorder="1" applyAlignment="1">
      <alignment horizontal="center" vertical="center"/>
    </xf>
    <xf numFmtId="0" fontId="62" fillId="0" borderId="70" xfId="0" applyFont="1" applyBorder="1" applyAlignment="1">
      <alignment horizontal="center" vertical="center" wrapText="1"/>
    </xf>
    <xf numFmtId="0" fontId="62" fillId="0" borderId="0" xfId="0" applyFont="1" applyAlignment="1">
      <alignment horizontal="left" vertical="center" wrapText="1"/>
    </xf>
    <xf numFmtId="0" fontId="13" fillId="4" borderId="57" xfId="0" applyFont="1" applyFill="1" applyBorder="1" applyAlignment="1" applyProtection="1">
      <alignment horizontal="left" vertical="center"/>
      <protection locked="0"/>
    </xf>
    <xf numFmtId="0" fontId="12" fillId="4" borderId="0" xfId="0" applyFont="1" applyFill="1" applyAlignment="1" applyProtection="1">
      <alignment horizontal="left" vertical="center"/>
      <protection locked="0"/>
    </xf>
    <xf numFmtId="0" fontId="12" fillId="4" borderId="1" xfId="0" applyFont="1" applyFill="1" applyBorder="1" applyAlignment="1" applyProtection="1">
      <alignment horizontal="left" vertical="center"/>
      <protection locked="0"/>
    </xf>
    <xf numFmtId="0" fontId="12" fillId="4" borderId="57" xfId="0" applyFont="1" applyFill="1" applyBorder="1" applyAlignment="1" applyProtection="1">
      <alignment horizontal="left" vertical="center"/>
      <protection locked="0"/>
    </xf>
    <xf numFmtId="2" fontId="30" fillId="0" borderId="68" xfId="1" applyNumberFormat="1" applyFont="1" applyFill="1" applyBorder="1"/>
    <xf numFmtId="0" fontId="30" fillId="0" borderId="50" xfId="0" applyFont="1" applyBorder="1" applyAlignment="1">
      <alignment vertical="center" wrapText="1"/>
    </xf>
    <xf numFmtId="170" fontId="30" fillId="0" borderId="11" xfId="4" applyNumberFormat="1" applyFont="1" applyFill="1" applyBorder="1" applyAlignment="1">
      <alignment vertical="center"/>
    </xf>
    <xf numFmtId="3" fontId="30" fillId="0" borderId="0" xfId="0" applyNumberFormat="1" applyFont="1" applyAlignment="1">
      <alignment vertical="center"/>
    </xf>
    <xf numFmtId="3" fontId="30" fillId="0" borderId="42" xfId="0" applyNumberFormat="1" applyFont="1" applyBorder="1" applyAlignment="1">
      <alignment vertical="center"/>
    </xf>
    <xf numFmtId="165" fontId="42" fillId="18" borderId="0" xfId="4" applyFont="1" applyFill="1" applyBorder="1" applyAlignment="1">
      <alignment vertical="center"/>
    </xf>
    <xf numFmtId="3" fontId="30" fillId="0" borderId="50" xfId="0" applyNumberFormat="1" applyFont="1" applyBorder="1" applyAlignment="1">
      <alignment vertical="center"/>
    </xf>
    <xf numFmtId="0" fontId="30" fillId="0" borderId="0" xfId="0" applyFont="1" applyAlignment="1">
      <alignment vertical="center"/>
    </xf>
    <xf numFmtId="10" fontId="30" fillId="0" borderId="50" xfId="1" applyNumberFormat="1" applyFont="1" applyFill="1" applyBorder="1"/>
    <xf numFmtId="10" fontId="30" fillId="0" borderId="11" xfId="1" applyNumberFormat="1" applyFont="1" applyFill="1" applyBorder="1"/>
    <xf numFmtId="3" fontId="0" fillId="0" borderId="0" xfId="0" applyNumberFormat="1"/>
    <xf numFmtId="170" fontId="30" fillId="0" borderId="27" xfId="1" applyNumberFormat="1" applyFont="1" applyFill="1" applyBorder="1"/>
    <xf numFmtId="170" fontId="30" fillId="0" borderId="80" xfId="4" applyNumberFormat="1" applyFont="1" applyFill="1" applyBorder="1"/>
    <xf numFmtId="3" fontId="30" fillId="0" borderId="80" xfId="0" applyNumberFormat="1" applyFont="1" applyBorder="1"/>
    <xf numFmtId="0" fontId="12" fillId="0" borderId="50" xfId="0" applyFont="1" applyBorder="1" applyAlignment="1">
      <alignment wrapText="1"/>
    </xf>
    <xf numFmtId="170" fontId="30" fillId="0" borderId="0" xfId="2" applyNumberFormat="1" applyFont="1"/>
    <xf numFmtId="165" fontId="30" fillId="0" borderId="49" xfId="2" applyFont="1" applyBorder="1"/>
    <xf numFmtId="170" fontId="30" fillId="0" borderId="0" xfId="0" applyNumberFormat="1" applyFont="1"/>
    <xf numFmtId="0" fontId="33" fillId="0" borderId="0" xfId="0" applyFont="1" applyAlignment="1">
      <alignment vertical="center"/>
    </xf>
    <xf numFmtId="0" fontId="33" fillId="0" borderId="53" xfId="0" applyFont="1" applyBorder="1" applyAlignment="1">
      <alignment vertical="center"/>
    </xf>
    <xf numFmtId="14" fontId="33" fillId="0" borderId="0" xfId="4" applyNumberFormat="1" applyFont="1" applyFill="1" applyBorder="1" applyAlignment="1">
      <alignment vertical="center" wrapText="1"/>
    </xf>
    <xf numFmtId="14" fontId="33" fillId="0" borderId="53" xfId="4" applyNumberFormat="1" applyFont="1" applyFill="1" applyBorder="1" applyAlignment="1">
      <alignment vertical="center" wrapText="1"/>
    </xf>
    <xf numFmtId="14" fontId="33" fillId="0" borderId="0" xfId="4" applyNumberFormat="1" applyFont="1" applyFill="1" applyBorder="1" applyAlignment="1">
      <alignment vertical="center"/>
    </xf>
    <xf numFmtId="14" fontId="33" fillId="0" borderId="53" xfId="4" applyNumberFormat="1" applyFont="1" applyFill="1" applyBorder="1" applyAlignment="1">
      <alignment vertical="center"/>
    </xf>
    <xf numFmtId="177" fontId="30" fillId="0" borderId="0" xfId="4" applyNumberFormat="1" applyFont="1" applyFill="1" applyBorder="1"/>
    <xf numFmtId="3" fontId="25" fillId="13" borderId="47" xfId="0" applyNumberFormat="1" applyFont="1" applyFill="1" applyBorder="1" applyAlignment="1" applyProtection="1">
      <alignment horizontal="center" wrapText="1"/>
      <protection hidden="1"/>
    </xf>
    <xf numFmtId="3" fontId="25" fillId="13" borderId="46" xfId="0" applyNumberFormat="1" applyFont="1" applyFill="1" applyBorder="1" applyAlignment="1" applyProtection="1">
      <alignment horizontal="center" wrapText="1"/>
      <protection hidden="1"/>
    </xf>
    <xf numFmtId="0" fontId="26" fillId="2" borderId="0" xfId="0" applyFont="1" applyFill="1" applyAlignment="1">
      <alignment horizontal="center" wrapText="1"/>
    </xf>
    <xf numFmtId="0" fontId="26" fillId="2" borderId="48" xfId="0" applyFont="1" applyFill="1" applyBorder="1" applyAlignment="1">
      <alignment horizontal="center" wrapText="1"/>
    </xf>
    <xf numFmtId="0" fontId="12" fillId="4" borderId="4" xfId="0" applyFont="1" applyFill="1" applyBorder="1" applyAlignment="1" applyProtection="1">
      <alignment horizontal="left"/>
      <protection locked="0"/>
    </xf>
    <xf numFmtId="0" fontId="12" fillId="4" borderId="0" xfId="0" applyFont="1" applyFill="1" applyAlignment="1" applyProtection="1">
      <alignment horizontal="left"/>
      <protection locked="0"/>
    </xf>
    <xf numFmtId="0" fontId="12" fillId="4" borderId="1" xfId="0" applyFont="1" applyFill="1" applyBorder="1" applyAlignment="1" applyProtection="1">
      <alignment horizontal="left"/>
      <protection locked="0"/>
    </xf>
    <xf numFmtId="0" fontId="14" fillId="9" borderId="4" xfId="0" applyFont="1" applyFill="1" applyBorder="1" applyAlignment="1" applyProtection="1">
      <alignment horizontal="left" vertical="top"/>
      <protection locked="0"/>
    </xf>
    <xf numFmtId="0" fontId="24" fillId="0" borderId="0" xfId="0" applyFont="1" applyAlignment="1" applyProtection="1">
      <alignment horizontal="left" vertical="top"/>
      <protection locked="0"/>
    </xf>
    <xf numFmtId="0" fontId="24" fillId="0" borderId="1" xfId="0" applyFont="1" applyBorder="1" applyAlignment="1" applyProtection="1">
      <alignment horizontal="left" vertical="top"/>
      <protection locked="0"/>
    </xf>
    <xf numFmtId="0" fontId="3" fillId="6" borderId="8" xfId="0" applyFont="1" applyFill="1" applyBorder="1" applyAlignment="1" applyProtection="1">
      <alignment horizontal="left"/>
      <protection locked="0"/>
    </xf>
    <xf numFmtId="0" fontId="3" fillId="6" borderId="14" xfId="0" applyFont="1" applyFill="1" applyBorder="1" applyAlignment="1" applyProtection="1">
      <alignment horizontal="left"/>
      <protection locked="0"/>
    </xf>
    <xf numFmtId="0" fontId="3" fillId="6" borderId="9" xfId="0" applyFont="1" applyFill="1" applyBorder="1" applyAlignment="1" applyProtection="1">
      <alignment horizontal="left"/>
      <protection locked="0"/>
    </xf>
    <xf numFmtId="166" fontId="3" fillId="6" borderId="8" xfId="0" applyNumberFormat="1" applyFont="1" applyFill="1" applyBorder="1" applyAlignment="1" applyProtection="1">
      <alignment horizontal="left"/>
      <protection locked="0"/>
    </xf>
    <xf numFmtId="166" fontId="3" fillId="6" borderId="14" xfId="0" applyNumberFormat="1" applyFont="1" applyFill="1" applyBorder="1" applyAlignment="1" applyProtection="1">
      <alignment horizontal="left"/>
      <protection locked="0"/>
    </xf>
    <xf numFmtId="166" fontId="3" fillId="6" borderId="9" xfId="0" applyNumberFormat="1" applyFont="1" applyFill="1" applyBorder="1" applyAlignment="1" applyProtection="1">
      <alignment horizontal="left"/>
      <protection locked="0"/>
    </xf>
    <xf numFmtId="0" fontId="3" fillId="6" borderId="26" xfId="0" applyFont="1" applyFill="1" applyBorder="1" applyAlignment="1" applyProtection="1">
      <alignment horizontal="left"/>
      <protection locked="0"/>
    </xf>
    <xf numFmtId="0" fontId="3" fillId="6" borderId="27" xfId="0" applyFont="1" applyFill="1" applyBorder="1" applyAlignment="1" applyProtection="1">
      <alignment horizontal="left"/>
      <protection locked="0"/>
    </xf>
    <xf numFmtId="0" fontId="3" fillId="6" borderId="28" xfId="0" applyFont="1" applyFill="1" applyBorder="1" applyAlignment="1" applyProtection="1">
      <alignment horizontal="left"/>
      <protection locked="0"/>
    </xf>
    <xf numFmtId="9" fontId="37" fillId="2" borderId="0" xfId="1" applyFont="1" applyFill="1" applyAlignment="1" applyProtection="1">
      <alignment horizontal="left" vertical="center"/>
    </xf>
    <xf numFmtId="14" fontId="3" fillId="6" borderId="8" xfId="0" applyNumberFormat="1" applyFont="1" applyFill="1" applyBorder="1" applyAlignment="1" applyProtection="1">
      <alignment horizontal="left"/>
      <protection locked="0"/>
    </xf>
    <xf numFmtId="0" fontId="13" fillId="4" borderId="57" xfId="0" applyFont="1" applyFill="1" applyBorder="1" applyAlignment="1" applyProtection="1">
      <alignment horizontal="left" vertical="center" wrapText="1"/>
      <protection locked="0"/>
    </xf>
    <xf numFmtId="0" fontId="13" fillId="4" borderId="0" xfId="0" applyFont="1" applyFill="1" applyAlignment="1" applyProtection="1">
      <alignment horizontal="left" vertical="center" wrapText="1"/>
      <protection locked="0"/>
    </xf>
    <xf numFmtId="0" fontId="13" fillId="4" borderId="1" xfId="0" applyFont="1" applyFill="1" applyBorder="1" applyAlignment="1" applyProtection="1">
      <alignment horizontal="left" vertical="center" wrapText="1"/>
      <protection locked="0"/>
    </xf>
    <xf numFmtId="0" fontId="48" fillId="9" borderId="54" xfId="0" applyFont="1" applyFill="1" applyBorder="1" applyProtection="1">
      <protection locked="0"/>
    </xf>
    <xf numFmtId="0" fontId="0" fillId="0" borderId="55" xfId="0" applyBorder="1" applyProtection="1">
      <protection locked="0"/>
    </xf>
    <xf numFmtId="0" fontId="0" fillId="0" borderId="56" xfId="0" applyBorder="1" applyProtection="1">
      <protection locked="0"/>
    </xf>
    <xf numFmtId="0" fontId="50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0" fillId="9" borderId="64" xfId="0" applyFill="1" applyBorder="1" applyAlignment="1" applyProtection="1">
      <alignment horizontal="left" vertical="top" wrapText="1"/>
      <protection locked="0"/>
    </xf>
    <xf numFmtId="0" fontId="0" fillId="9" borderId="65" xfId="0" applyFill="1" applyBorder="1" applyAlignment="1" applyProtection="1">
      <alignment horizontal="left" vertical="top" wrapText="1"/>
      <protection locked="0"/>
    </xf>
    <xf numFmtId="0" fontId="50" fillId="9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48" fillId="9" borderId="59" xfId="0" applyFont="1" applyFill="1" applyBorder="1" applyAlignment="1" applyProtection="1">
      <alignment wrapText="1"/>
      <protection locked="0"/>
    </xf>
    <xf numFmtId="0" fontId="0" fillId="0" borderId="62" xfId="0" applyBorder="1" applyAlignment="1" applyProtection="1">
      <alignment wrapText="1"/>
      <protection locked="0"/>
    </xf>
    <xf numFmtId="0" fontId="0" fillId="0" borderId="63" xfId="0" applyBorder="1" applyAlignment="1" applyProtection="1">
      <alignment wrapText="1"/>
      <protection locked="0"/>
    </xf>
    <xf numFmtId="0" fontId="0" fillId="0" borderId="57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66" xfId="0" applyBorder="1" applyAlignment="1" applyProtection="1">
      <alignment wrapText="1"/>
      <protection locked="0"/>
    </xf>
    <xf numFmtId="0" fontId="0" fillId="0" borderId="64" xfId="0" applyBorder="1" applyAlignment="1" applyProtection="1">
      <alignment wrapText="1"/>
      <protection locked="0"/>
    </xf>
    <xf numFmtId="0" fontId="0" fillId="0" borderId="65" xfId="0" applyBorder="1" applyAlignment="1" applyProtection="1">
      <alignment wrapText="1"/>
      <protection locked="0"/>
    </xf>
    <xf numFmtId="0" fontId="62" fillId="0" borderId="73" xfId="0" applyFont="1" applyBorder="1" applyAlignment="1">
      <alignment horizontal="center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17" borderId="0" xfId="0" applyFont="1" applyFill="1" applyAlignment="1">
      <alignment horizontal="center" vertical="center" wrapText="1"/>
    </xf>
    <xf numFmtId="0" fontId="62" fillId="0" borderId="79" xfId="0" applyFont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/>
    </xf>
    <xf numFmtId="0" fontId="16" fillId="3" borderId="9" xfId="0" applyFont="1" applyFill="1" applyBorder="1" applyAlignment="1">
      <alignment horizontal="center"/>
    </xf>
  </cellXfs>
  <cellStyles count="7">
    <cellStyle name="Comma" xfId="2" builtinId="3"/>
    <cellStyle name="Comma 2" xfId="4" xr:uid="{00000000-0005-0000-0000-000001000000}"/>
    <cellStyle name="Currency 2" xfId="6" xr:uid="{90878363-0452-45E2-A45C-66C7DD1B5B27}"/>
    <cellStyle name="Normal" xfId="0" builtinId="0"/>
    <cellStyle name="Normal 2" xfId="3" xr:uid="{00000000-0005-0000-0000-000003000000}"/>
    <cellStyle name="Percent" xfId="1" builtinId="5"/>
    <cellStyle name="Standard_31.12.97" xfId="5" xr:uid="{00000000-0005-0000-0000-000005000000}"/>
  </cellStyles>
  <dxfs count="4">
    <dxf>
      <fill>
        <patternFill>
          <bgColor rgb="FFFFFFCC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FFFFCC"/>
      <color rgb="FFFBFCD2"/>
      <color rgb="FFFF0066"/>
      <color rgb="FF9900CC"/>
      <color rgb="FF724090"/>
      <color rgb="FFA86ED4"/>
      <color rgb="FF3366FF"/>
      <color rgb="FFFF00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'Input &amp; Cal'!$H$9" lockText="1"/>
</file>

<file path=xl/ctrlProps/ctrlProp2.xml><?xml version="1.0" encoding="utf-8"?>
<formControlPr xmlns="http://schemas.microsoft.com/office/spreadsheetml/2009/9/main" objectType="Drop" dropLines="4" dropStyle="combo" dx="15" fmlaLink="G42" fmlaRange="FinancialConditions" sel="3" val="0"/>
</file>

<file path=xl/ctrlProps/ctrlProp3.xml><?xml version="1.0" encoding="utf-8"?>
<formControlPr xmlns="http://schemas.microsoft.com/office/spreadsheetml/2009/9/main" objectType="Drop" dropLines="3" dropStyle="combo" dx="15" fmlaLink="G44" fmlaRange="Listing" sel="3" val="0"/>
</file>

<file path=xl/ctrlProps/ctrlProp4.xml><?xml version="1.0" encoding="utf-8"?>
<formControlPr xmlns="http://schemas.microsoft.com/office/spreadsheetml/2009/9/main" objectType="Drop" dropLines="6" dropStyle="combo" dx="15" fmlaLink="G46" fmlaRange="YearsInBiz" sel="5" val="0"/>
</file>

<file path=xl/ctrlProps/ctrlProp5.xml><?xml version="1.0" encoding="utf-8"?>
<formControlPr xmlns="http://schemas.microsoft.com/office/spreadsheetml/2009/9/main" objectType="Drop" dropLines="5" dropStyle="combo" dx="15" fmlaLink="G52" fmlaRange="PublicOfferings" sel="3" val="0"/>
</file>

<file path=xl/ctrlProps/ctrlProp6.xml><?xml version="1.0" encoding="utf-8"?>
<formControlPr xmlns="http://schemas.microsoft.com/office/spreadsheetml/2009/9/main" objectType="Drop" dropLines="3" dropStyle="combo" dx="15" fmlaLink="G54" fmlaRange="MAactivity" sel="3" val="0"/>
</file>

<file path=xl/ctrlProps/ctrlProp7.xml><?xml version="1.0" encoding="utf-8"?>
<formControlPr xmlns="http://schemas.microsoft.com/office/spreadsheetml/2009/9/main" objectType="Drop" dropLines="3" dropStyle="combo" dx="15" fmlaLink="G48" fmlaRange="MajorShareholder" sel="1" val="0"/>
</file>

<file path=xl/ctrlProps/ctrlProp8.xml><?xml version="1.0" encoding="utf-8"?>
<formControlPr xmlns="http://schemas.microsoft.com/office/spreadsheetml/2009/9/main" objectType="Drop" dropLines="3" dropStyle="combo" dx="15" fmlaLink="G56" fmlaRange="LitigationHistory" sel="3" val="0"/>
</file>

<file path=xl/ctrlProps/ctrlProp9.xml><?xml version="1.0" encoding="utf-8"?>
<formControlPr xmlns="http://schemas.microsoft.com/office/spreadsheetml/2009/9/main" objectType="Drop" dropLines="12" dropStyle="combo" dx="15" fmlaLink="G58" fmlaRange="Industry" sel="8" val="0"/>
</file>

<file path=xl/ctrlProps/ctrlProp10.xml><?xml version="1.0" encoding="utf-8"?>
<formControlPr xmlns="http://schemas.microsoft.com/office/spreadsheetml/2009/9/main" objectType="Drop" dropLines="10" dropStyle="combo" dx="15" fmlaLink="G60" fmlaRange="CountryOfDomicile" sel="3" val="0"/>
</file>

<file path=xl/ctrlProps/ctrlProp11.xml><?xml version="1.0" encoding="utf-8"?>
<formControlPr xmlns="http://schemas.microsoft.com/office/spreadsheetml/2009/9/main" objectType="Drop" dropLines="5" dropStyle="combo" dx="15" fmlaLink="G62" fmlaRange="InternationalActivities" sel="4" val="0"/>
</file>

<file path=xl/ctrlProps/ctrlProp12.xml><?xml version="1.0" encoding="utf-8"?>
<formControlPr xmlns="http://schemas.microsoft.com/office/spreadsheetml/2009/9/main" objectType="Drop" dropLines="2" dropStyle="combo" dx="15" fmlaLink="G68" fmlaRange="UnderwriterOpinion" sel="2" val="0"/>
</file>

<file path=xl/ctrlProps/ctrlProp13.xml><?xml version="1.0" encoding="utf-8"?>
<formControlPr xmlns="http://schemas.microsoft.com/office/spreadsheetml/2009/9/main" objectType="Drop" dropLines="5" dropStyle="combo" dx="15" fmlaLink="D76" fmlaRange="USListing" sel="1" val="0"/>
</file>

<file path=xl/ctrlProps/ctrlProp14.xml><?xml version="1.0" encoding="utf-8"?>
<formControlPr xmlns="http://schemas.microsoft.com/office/spreadsheetml/2009/9/main" objectType="Drop" dropLines="2" dropStyle="combo" dx="15" fmlaLink="E78" fmlaRange="EntityCoverage" sel="1" val="0"/>
</file>

<file path=xl/ctrlProps/ctrlProp15.xml><?xml version="1.0" encoding="utf-8"?>
<formControlPr xmlns="http://schemas.microsoft.com/office/spreadsheetml/2009/9/main" objectType="Drop" dropLines="3" dropStyle="combo" dx="15" fmlaLink="G64" fmlaRange="QualityOfBoard" sel="1" val="0"/>
</file>

<file path=xl/ctrlProps/ctrlProp16.xml><?xml version="1.0" encoding="utf-8"?>
<formControlPr xmlns="http://schemas.microsoft.com/office/spreadsheetml/2009/9/main" objectType="Drop" dropLines="2" dropStyle="combo" dx="15" fmlaLink="G66" fmlaRange="Wordings" sel="2" val="0"/>
</file>

<file path=xl/ctrlProps/ctrlProp17.xml><?xml version="1.0" encoding="utf-8"?>
<formControlPr xmlns="http://schemas.microsoft.com/office/spreadsheetml/2009/9/main" objectType="Drop" dropLines="3" dropStyle="combo" dx="15" fmlaLink="G50" fmlaRange="InsdVsInsd" sel="1" val="0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654844</xdr:colOff>
      <xdr:row>24</xdr:row>
      <xdr:rowOff>142876</xdr:rowOff>
    </xdr:from>
    <xdr:to>
      <xdr:col>6</xdr:col>
      <xdr:colOff>973617</xdr:colOff>
      <xdr:row>27</xdr:row>
      <xdr:rowOff>26987</xdr:rowOff>
    </xdr:to>
    <xdr:pic>
      <xdr:nvPicPr>
        <xdr:cNvPr id="7" name="Picture 3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88532" y="4929189"/>
          <a:ext cx="318773" cy="261937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416720</xdr:colOff>
      <xdr:row>84</xdr:row>
      <xdr:rowOff>23813</xdr:rowOff>
    </xdr:from>
    <xdr:to>
      <xdr:col>6</xdr:col>
      <xdr:colOff>943769</xdr:colOff>
      <xdr:row>87</xdr:row>
      <xdr:rowOff>73283</xdr:rowOff>
    </xdr:to>
    <xdr:pic>
      <xdr:nvPicPr>
        <xdr:cNvPr id="11" name="Picture 37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50408" y="13906501"/>
          <a:ext cx="523874" cy="43047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428626</xdr:colOff>
      <xdr:row>93</xdr:row>
      <xdr:rowOff>2</xdr:rowOff>
    </xdr:from>
    <xdr:to>
      <xdr:col>6</xdr:col>
      <xdr:colOff>961231</xdr:colOff>
      <xdr:row>96</xdr:row>
      <xdr:rowOff>59255</xdr:rowOff>
    </xdr:to>
    <xdr:pic>
      <xdr:nvPicPr>
        <xdr:cNvPr id="12" name="Picture 3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2314" y="15406690"/>
          <a:ext cx="535780" cy="440253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654830</xdr:colOff>
      <xdr:row>19</xdr:row>
      <xdr:rowOff>178594</xdr:rowOff>
    </xdr:from>
    <xdr:to>
      <xdr:col>6</xdr:col>
      <xdr:colOff>973603</xdr:colOff>
      <xdr:row>20</xdr:row>
      <xdr:rowOff>250031</xdr:rowOff>
    </xdr:to>
    <xdr:pic>
      <xdr:nvPicPr>
        <xdr:cNvPr id="9" name="Picture 3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88518" y="4000500"/>
          <a:ext cx="318773" cy="261937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228600</xdr:rowOff>
        </xdr:from>
        <xdr:to>
          <xdr:col>6</xdr:col>
          <xdr:colOff>1057275</xdr:colOff>
          <xdr:row>9</xdr:row>
          <xdr:rowOff>4711</xdr:rowOff>
        </xdr:to>
        <xdr:sp macro="" textlink="">
          <xdr:nvSpPr>
            <xdr:cNvPr id="1025" name="Check Box 1" descr="no automatic - Manu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41</xdr:row>
          <xdr:rowOff>0</xdr:rowOff>
        </xdr:from>
        <xdr:to>
          <xdr:col>14</xdr:col>
          <xdr:colOff>0</xdr:colOff>
          <xdr:row>42</xdr:row>
          <xdr:rowOff>38100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12700</xdr:rowOff>
        </xdr:from>
        <xdr:to>
          <xdr:col>14</xdr:col>
          <xdr:colOff>0</xdr:colOff>
          <xdr:row>44</xdr:row>
          <xdr:rowOff>38100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12700</xdr:rowOff>
        </xdr:from>
        <xdr:to>
          <xdr:col>14</xdr:col>
          <xdr:colOff>0</xdr:colOff>
          <xdr:row>46</xdr:row>
          <xdr:rowOff>38100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51</xdr:row>
          <xdr:rowOff>0</xdr:rowOff>
        </xdr:from>
        <xdr:to>
          <xdr:col>14</xdr:col>
          <xdr:colOff>410</xdr:colOff>
          <xdr:row>52</xdr:row>
          <xdr:rowOff>47625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53</xdr:row>
          <xdr:rowOff>12700</xdr:rowOff>
        </xdr:from>
        <xdr:to>
          <xdr:col>14</xdr:col>
          <xdr:colOff>410</xdr:colOff>
          <xdr:row>54</xdr:row>
          <xdr:rowOff>66675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107950</xdr:rowOff>
        </xdr:from>
        <xdr:to>
          <xdr:col>14</xdr:col>
          <xdr:colOff>410</xdr:colOff>
          <xdr:row>48</xdr:row>
          <xdr:rowOff>28575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55</xdr:row>
          <xdr:rowOff>12700</xdr:rowOff>
        </xdr:from>
        <xdr:to>
          <xdr:col>14</xdr:col>
          <xdr:colOff>0</xdr:colOff>
          <xdr:row>56</xdr:row>
          <xdr:rowOff>66675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114300</xdr:rowOff>
        </xdr:from>
        <xdr:to>
          <xdr:col>14</xdr:col>
          <xdr:colOff>410</xdr:colOff>
          <xdr:row>58</xdr:row>
          <xdr:rowOff>38100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58</xdr:row>
          <xdr:rowOff>114300</xdr:rowOff>
        </xdr:from>
        <xdr:to>
          <xdr:col>14</xdr:col>
          <xdr:colOff>410</xdr:colOff>
          <xdr:row>60</xdr:row>
          <xdr:rowOff>28575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61</xdr:row>
          <xdr:rowOff>12700</xdr:rowOff>
        </xdr:from>
        <xdr:to>
          <xdr:col>14</xdr:col>
          <xdr:colOff>410</xdr:colOff>
          <xdr:row>62</xdr:row>
          <xdr:rowOff>66675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67</xdr:row>
          <xdr:rowOff>0</xdr:rowOff>
        </xdr:from>
        <xdr:to>
          <xdr:col>14</xdr:col>
          <xdr:colOff>410</xdr:colOff>
          <xdr:row>68</xdr:row>
          <xdr:rowOff>38100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546100</xdr:colOff>
          <xdr:row>75</xdr:row>
          <xdr:rowOff>38100</xdr:rowOff>
        </xdr:from>
        <xdr:to>
          <xdr:col>7</xdr:col>
          <xdr:colOff>204</xdr:colOff>
          <xdr:row>76</xdr:row>
          <xdr:rowOff>47625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77</xdr:row>
          <xdr:rowOff>0</xdr:rowOff>
        </xdr:from>
        <xdr:to>
          <xdr:col>4</xdr:col>
          <xdr:colOff>447675</xdr:colOff>
          <xdr:row>78</xdr:row>
          <xdr:rowOff>9525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63</xdr:row>
          <xdr:rowOff>0</xdr:rowOff>
        </xdr:from>
        <xdr:to>
          <xdr:col>14</xdr:col>
          <xdr:colOff>410</xdr:colOff>
          <xdr:row>64</xdr:row>
          <xdr:rowOff>66675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64</xdr:row>
          <xdr:rowOff>146050</xdr:rowOff>
        </xdr:from>
        <xdr:to>
          <xdr:col>14</xdr:col>
          <xdr:colOff>410</xdr:colOff>
          <xdr:row>66</xdr:row>
          <xdr:rowOff>47625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107950</xdr:rowOff>
        </xdr:from>
        <xdr:to>
          <xdr:col>14</xdr:col>
          <xdr:colOff>410</xdr:colOff>
          <xdr:row>50</xdr:row>
          <xdr:rowOff>38100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9</xdr:row>
          <xdr:rowOff>241300</xdr:rowOff>
        </xdr:from>
        <xdr:to>
          <xdr:col>14</xdr:col>
          <xdr:colOff>114300</xdr:colOff>
          <xdr:row>12</xdr:row>
          <xdr:rowOff>165100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47625</xdr:colOff>
      <xdr:row>0</xdr:row>
      <xdr:rowOff>23813</xdr:rowOff>
    </xdr:from>
    <xdr:to>
      <xdr:col>14</xdr:col>
      <xdr:colOff>28617</xdr:colOff>
      <xdr:row>5</xdr:row>
      <xdr:rowOff>8092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0563" y="23813"/>
          <a:ext cx="1206542" cy="90026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UR AISYAH SABRINA KONG ABDULLAH" id="{99625261-41C0-4E9C-9424-3AD5852329F7}" userId="S::SKA@labuanre.com.my::02d4593e-50c0-4060-8406-52a92620f70f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9" dT="2020-11-01T18:56:57.83" personId="{99625261-41C0-4E9C-9424-3AD5852329F7}" id="{E9E0749D-F680-461D-ADFC-E73088418F5E}">
    <text>Net Cash from Operating Activities - PPE acquisition - loan repayment - dividend payment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11-24T01:57:58.51" personId="{99625261-41C0-4E9C-9424-3AD5852329F7}" id="{D3988D9E-8FDA-44A4-BD35-83AE8D21AF33}">
    <text>as at 23 Nov 2020</text>
  </threadedComment>
  <threadedComment ref="B95" dT="2022-06-08T02:29:22.03" personId="{99625261-41C0-4E9C-9424-3AD5852329F7}" id="{D5F225CD-CB1F-47D6-B2AC-0E7EE62C7C4B}">
    <text xml:space="preserve">Net Income less zakat/tax less Minority Interest
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tGeneral">
    <pageSetUpPr fitToPage="1"/>
  </sheetPr>
  <dimension ref="A7:R124"/>
  <sheetViews>
    <sheetView zoomScale="93" zoomScaleNormal="93" workbookViewId="0">
      <selection activeCell="H85" sqref="H85"/>
    </sheetView>
  </sheetViews>
  <sheetFormatPr defaultColWidth="9.1796875" defaultRowHeight="14.5"/>
  <cols>
    <col min="1" max="1" width="4.453125" style="1" customWidth="1"/>
    <col min="2" max="2" width="7" style="1" customWidth="1"/>
    <col min="3" max="3" width="9.81640625" style="1" customWidth="1"/>
    <col min="4" max="4" width="8.1796875" style="1" customWidth="1"/>
    <col min="5" max="6" width="6.453125" style="1" customWidth="1"/>
    <col min="7" max="7" width="15.54296875" style="1" customWidth="1"/>
    <col min="8" max="8" width="16.81640625" style="1" customWidth="1"/>
    <col min="9" max="9" width="2.453125" style="1" customWidth="1"/>
    <col min="10" max="10" width="16.54296875" style="1" customWidth="1"/>
    <col min="11" max="11" width="3.453125" style="1" customWidth="1"/>
    <col min="12" max="12" width="17.54296875" style="1" customWidth="1"/>
    <col min="13" max="13" width="3.453125" style="1" customWidth="1"/>
    <col min="14" max="14" width="17.453125" style="1" customWidth="1"/>
    <col min="15" max="15" width="3.453125" style="1" customWidth="1"/>
    <col min="16" max="16" width="12.453125" style="155" customWidth="1"/>
    <col min="17" max="17" width="12.1796875" style="155" customWidth="1"/>
    <col min="18" max="18" width="27.81640625" style="155" customWidth="1"/>
    <col min="19" max="16384" width="9.1796875" style="1"/>
  </cols>
  <sheetData>
    <row r="7" spans="2:18" ht="19">
      <c r="B7" s="2" t="s">
        <v>3</v>
      </c>
    </row>
    <row r="9" spans="2:18" ht="16.5">
      <c r="B9" s="31" t="s">
        <v>4</v>
      </c>
      <c r="C9" s="51"/>
      <c r="D9" s="51"/>
      <c r="E9" s="51"/>
      <c r="F9" s="51"/>
      <c r="G9" s="51"/>
      <c r="H9" s="58" t="b">
        <v>1</v>
      </c>
    </row>
    <row r="10" spans="2:18" ht="15.75" customHeight="1">
      <c r="B10" s="3" t="s">
        <v>0</v>
      </c>
      <c r="D10" s="464">
        <f>'FA 2020'!C1</f>
        <v>0</v>
      </c>
      <c r="E10" s="465"/>
      <c r="F10" s="465"/>
      <c r="G10" s="465"/>
      <c r="H10" s="465"/>
      <c r="I10" s="465"/>
      <c r="J10" s="465"/>
      <c r="K10" s="466"/>
      <c r="L10" s="51"/>
      <c r="M10" s="51"/>
      <c r="N10" s="51"/>
      <c r="O10" s="51"/>
      <c r="P10" s="156"/>
      <c r="Q10" s="156"/>
      <c r="R10" s="156"/>
    </row>
    <row r="11" spans="2:18" ht="15.75" customHeight="1">
      <c r="B11" s="3" t="s">
        <v>234</v>
      </c>
      <c r="D11" s="470" t="s">
        <v>180</v>
      </c>
      <c r="E11" s="471"/>
      <c r="F11" s="471"/>
      <c r="G11" s="471"/>
      <c r="H11" s="471"/>
      <c r="I11" s="471"/>
      <c r="J11" s="471"/>
      <c r="K11" s="472"/>
      <c r="L11" s="51"/>
      <c r="M11" s="51"/>
      <c r="N11" s="51"/>
      <c r="O11" s="51"/>
      <c r="P11" s="156"/>
      <c r="Q11" s="156"/>
      <c r="R11" s="156"/>
    </row>
    <row r="12" spans="2:18" ht="15.75" customHeight="1">
      <c r="B12" s="3" t="s">
        <v>1</v>
      </c>
      <c r="D12" s="464" t="s">
        <v>481</v>
      </c>
      <c r="E12" s="465"/>
      <c r="F12" s="465"/>
      <c r="G12" s="465"/>
      <c r="H12" s="465"/>
      <c r="I12" s="465"/>
      <c r="J12" s="465"/>
      <c r="K12" s="466"/>
      <c r="L12" s="51"/>
      <c r="M12" s="51"/>
      <c r="N12" s="51"/>
      <c r="O12" s="51"/>
      <c r="P12" s="156"/>
      <c r="Q12" s="156"/>
      <c r="R12" s="156"/>
    </row>
    <row r="13" spans="2:18" ht="15.75" customHeight="1">
      <c r="B13" s="3" t="s">
        <v>68</v>
      </c>
      <c r="D13" s="464">
        <f>'FA 2020'!C2</f>
        <v>0</v>
      </c>
      <c r="E13" s="465"/>
      <c r="F13" s="465"/>
      <c r="G13" s="465"/>
      <c r="H13" s="465"/>
      <c r="I13" s="465"/>
      <c r="J13" s="465"/>
      <c r="K13" s="466"/>
      <c r="L13" s="51"/>
      <c r="M13" s="51"/>
      <c r="N13" s="51"/>
      <c r="O13" s="51"/>
      <c r="P13" s="156"/>
      <c r="Q13" s="156"/>
      <c r="R13" s="156"/>
    </row>
    <row r="14" spans="2:18" ht="15.75" customHeight="1">
      <c r="B14" s="3" t="s">
        <v>69</v>
      </c>
      <c r="D14" s="467"/>
      <c r="E14" s="468"/>
      <c r="F14" s="468"/>
      <c r="G14" s="468"/>
      <c r="H14" s="468"/>
      <c r="I14" s="468"/>
      <c r="J14" s="468"/>
      <c r="K14" s="469"/>
      <c r="L14" s="51"/>
      <c r="M14" s="51"/>
      <c r="N14" s="51"/>
      <c r="O14" s="51"/>
      <c r="P14" s="156"/>
      <c r="Q14" s="156"/>
      <c r="R14" s="156"/>
    </row>
    <row r="15" spans="2:18" ht="15.75" customHeight="1">
      <c r="B15" s="3" t="s">
        <v>2</v>
      </c>
      <c r="D15" s="464"/>
      <c r="E15" s="465"/>
      <c r="F15" s="465"/>
      <c r="G15" s="465"/>
      <c r="H15" s="465"/>
      <c r="I15" s="465"/>
      <c r="J15" s="465"/>
      <c r="K15" s="466"/>
      <c r="L15" s="51"/>
      <c r="M15" s="51"/>
      <c r="N15" s="51"/>
      <c r="O15" s="51"/>
      <c r="P15" s="156"/>
      <c r="Q15" s="156"/>
      <c r="R15" s="156"/>
    </row>
    <row r="16" spans="2:18" ht="15.75" customHeight="1">
      <c r="B16" s="3" t="s">
        <v>111</v>
      </c>
      <c r="D16" s="474"/>
      <c r="E16" s="465"/>
      <c r="F16" s="465"/>
      <c r="G16" s="465"/>
      <c r="H16" s="465"/>
      <c r="I16" s="465"/>
      <c r="J16" s="465"/>
      <c r="K16" s="466"/>
      <c r="L16" s="51"/>
      <c r="M16" s="51"/>
      <c r="N16" s="51"/>
      <c r="O16" s="51"/>
      <c r="P16" s="156"/>
      <c r="Q16" s="156"/>
      <c r="R16" s="156"/>
    </row>
    <row r="17" spans="2:18" ht="15.75" customHeight="1">
      <c r="B17" s="3" t="s">
        <v>112</v>
      </c>
      <c r="D17" s="474"/>
      <c r="E17" s="465"/>
      <c r="F17" s="465"/>
      <c r="G17" s="465"/>
      <c r="H17" s="465"/>
      <c r="I17" s="465"/>
      <c r="J17" s="465"/>
      <c r="K17" s="466"/>
      <c r="L17" s="51"/>
      <c r="M17" s="51"/>
      <c r="N17" s="51"/>
      <c r="O17" s="51"/>
      <c r="P17" s="156"/>
      <c r="Q17" s="156"/>
      <c r="R17" s="156"/>
    </row>
    <row r="18" spans="2:18" ht="15.75" customHeight="1">
      <c r="P18" s="157" t="s">
        <v>113</v>
      </c>
      <c r="Q18" s="464" t="s">
        <v>262</v>
      </c>
      <c r="R18" s="466"/>
    </row>
    <row r="19" spans="2:18" ht="15.75" customHeight="1">
      <c r="P19" s="157" t="s">
        <v>267</v>
      </c>
      <c r="Q19" s="464"/>
      <c r="R19" s="466"/>
    </row>
    <row r="20" spans="2:18">
      <c r="H20" s="5" t="str">
        <f>IF(D11="","",D11)</f>
        <v>MYR</v>
      </c>
      <c r="J20" s="5" t="str">
        <f>IF(H20="","",H20)</f>
        <v>MYR</v>
      </c>
      <c r="L20" s="5" t="str">
        <f>IF(H20="","",H20)</f>
        <v>MYR</v>
      </c>
      <c r="N20" s="5" t="str">
        <f>IF(H20="","",H20)</f>
        <v>MYR</v>
      </c>
      <c r="P20" s="15" t="s">
        <v>28</v>
      </c>
      <c r="Q20" s="153"/>
      <c r="R20" s="154"/>
    </row>
    <row r="21" spans="2:18" ht="23.15" customHeight="1">
      <c r="C21" s="3" t="s">
        <v>6</v>
      </c>
      <c r="H21" s="37"/>
      <c r="I21" s="51"/>
      <c r="J21" s="37"/>
      <c r="K21" s="51"/>
      <c r="L21" s="37"/>
      <c r="M21" s="51"/>
      <c r="N21" s="37"/>
      <c r="P21" s="152"/>
      <c r="Q21" s="153"/>
      <c r="R21" s="154"/>
    </row>
    <row r="22" spans="2:18" ht="23.15" hidden="1" customHeight="1">
      <c r="C22" s="3"/>
      <c r="G22" s="100" t="s">
        <v>8</v>
      </c>
      <c r="H22" s="101" t="str">
        <f>IF(H21="","",H21/VLOOKUP($D$11,CURRENCY_RATES!$A$2:$B$52,2,0))</f>
        <v/>
      </c>
      <c r="I22" s="51"/>
      <c r="J22" s="101" t="str">
        <f>IF(J21="","",J21/VLOOKUP($D$11,CURRENCY_RATES!$A$2:$B$52,2,0))</f>
        <v/>
      </c>
      <c r="K22" s="51"/>
      <c r="L22" s="101" t="str">
        <f>IF(L21="","",L21/VLOOKUP($D$11,CURRENCY_RATES!$A$2:$B$52,2,0))</f>
        <v/>
      </c>
      <c r="M22" s="51"/>
      <c r="N22" s="101" t="str">
        <f>IF(N21="","",N21/VLOOKUP($D$11,CURRENCY_RATES!$A$2:$B$52,2,0))</f>
        <v/>
      </c>
      <c r="P22" s="152"/>
      <c r="Q22" s="153"/>
      <c r="R22" s="154"/>
    </row>
    <row r="23" spans="2:18">
      <c r="P23" s="9"/>
      <c r="Q23" s="10"/>
      <c r="R23" s="11"/>
    </row>
    <row r="24" spans="2:18" ht="15" thickBot="1">
      <c r="C24" s="3" t="s">
        <v>5</v>
      </c>
      <c r="H24" s="92">
        <f>IF(H22="",0,VLOOKUP(MATCH(H22,Factors!$B$25:$B$32,1),Factors!$A$25:$D$32,4,0))</f>
        <v>0</v>
      </c>
      <c r="I24" s="93"/>
      <c r="J24" s="92">
        <f>IF(J22="",0,VLOOKUP(MATCH(J22,Factors!$B$25:$B$32,1),Factors!$A$25:$D$32,4,0))</f>
        <v>0</v>
      </c>
      <c r="K24" s="93"/>
      <c r="L24" s="92">
        <f>IF(L22="",0,VLOOKUP(MATCH(L22,Factors!$B$25:$B$32,1),Factors!$A$25:$D$32,4,0))</f>
        <v>0</v>
      </c>
      <c r="M24" s="93"/>
      <c r="N24" s="92">
        <f>IF(N22="",0,VLOOKUP(MATCH(N22,Factors!$B$25:$B$32,1),Factors!$A$25:$D$32,4,0))</f>
        <v>0</v>
      </c>
      <c r="P24" s="9"/>
      <c r="Q24" s="10"/>
      <c r="R24" s="11"/>
    </row>
    <row r="25" spans="2:18">
      <c r="P25" s="152"/>
      <c r="Q25" s="153"/>
      <c r="R25" s="154"/>
    </row>
    <row r="26" spans="2:18">
      <c r="C26" s="3" t="s">
        <v>7</v>
      </c>
      <c r="H26" s="52"/>
      <c r="J26" s="25"/>
      <c r="L26" s="25"/>
      <c r="N26" s="25"/>
      <c r="P26" s="9"/>
      <c r="Q26" s="153"/>
      <c r="R26" s="154"/>
    </row>
    <row r="27" spans="2:18" hidden="1">
      <c r="C27" s="3"/>
      <c r="G27" s="100" t="s">
        <v>8</v>
      </c>
      <c r="H27" s="25" t="str">
        <f>IF(H26="","",H26/VLOOKUP($D$11,CURRENCY_RATES!$A$2:$B$52,2,0))</f>
        <v/>
      </c>
      <c r="J27" s="25">
        <f>IF(H27="",0,H27)</f>
        <v>0</v>
      </c>
      <c r="L27" s="25">
        <f>IF(H27="",0,H27)</f>
        <v>0</v>
      </c>
      <c r="N27" s="25">
        <f>IF(H27="",0,H27)</f>
        <v>0</v>
      </c>
      <c r="P27" s="9"/>
      <c r="Q27" s="153"/>
      <c r="R27" s="154"/>
    </row>
    <row r="28" spans="2:18" ht="12.75" customHeight="1">
      <c r="P28" s="152"/>
      <c r="Q28" s="153"/>
      <c r="R28" s="154"/>
    </row>
    <row r="29" spans="2:18" ht="15.75" customHeight="1">
      <c r="C29" s="3" t="str">
        <f>IF($H$9=TRUE,"Total loans","")</f>
        <v>Total loans</v>
      </c>
      <c r="H29" s="53"/>
      <c r="I29" s="51"/>
      <c r="J29" s="6" t="str">
        <f>IF(H29="","",H29)</f>
        <v/>
      </c>
      <c r="K29" s="51"/>
      <c r="L29" s="6" t="str">
        <f>IF(J29="","",J29)</f>
        <v/>
      </c>
      <c r="M29" s="51"/>
      <c r="N29" s="6" t="str">
        <f>IF(L29="","",L29)</f>
        <v/>
      </c>
      <c r="P29" s="9"/>
      <c r="Q29" s="153"/>
      <c r="R29" s="154"/>
    </row>
    <row r="30" spans="2:18" hidden="1">
      <c r="C30" s="3"/>
      <c r="G30" s="100" t="s">
        <v>8</v>
      </c>
      <c r="H30" s="25" t="str">
        <f>IF(H29="","",H29/VLOOKUP($D$11,CURRENCY_RATES!$A$2:$B$52,2,0))</f>
        <v/>
      </c>
      <c r="J30" s="25">
        <f>IF(H30="",0,H30)</f>
        <v>0</v>
      </c>
      <c r="L30" s="25">
        <f>IF(H30="",0,H30)</f>
        <v>0</v>
      </c>
      <c r="N30" s="25">
        <f>IF(H30="",0,H30)</f>
        <v>0</v>
      </c>
      <c r="P30" s="9"/>
      <c r="Q30" s="153"/>
      <c r="R30" s="154"/>
    </row>
    <row r="31" spans="2:18">
      <c r="P31" s="152"/>
      <c r="Q31" s="153"/>
      <c r="R31" s="154"/>
    </row>
    <row r="32" spans="2:18" ht="15.75" customHeight="1">
      <c r="C32" s="3" t="str">
        <f>IF($H$9=TRUE, "Basic Assets for calculation","")</f>
        <v>Basic Assets for calculation</v>
      </c>
      <c r="H32" s="6">
        <f>IF($H$9=TRUE,(0.15*H29)+(H26-H29),"")</f>
        <v>0</v>
      </c>
      <c r="J32" s="6" t="e">
        <f>IF($H$9=TRUE,(0.15*J29)+(J26-J29),"")</f>
        <v>#VALUE!</v>
      </c>
      <c r="L32" s="6" t="e">
        <f>IF($H$9=TRUE,(0.15*L29)+(L26-L29),"")</f>
        <v>#VALUE!</v>
      </c>
      <c r="N32" s="6" t="e">
        <f>IF($H$9=TRUE,(0.15*N29)+(N26-N29),"")</f>
        <v>#VALUE!</v>
      </c>
      <c r="P32" s="9"/>
      <c r="Q32" s="10"/>
      <c r="R32" s="11"/>
    </row>
    <row r="33" spans="2:18" hidden="1">
      <c r="C33" s="3"/>
      <c r="G33" s="100" t="s">
        <v>8</v>
      </c>
      <c r="H33" s="6">
        <f>IF(H32="","",H32/VLOOKUP($D$11,CURRENCY_RATES!$A$2:$B$52,2,0))</f>
        <v>0</v>
      </c>
      <c r="J33" s="6">
        <f>IF(H33="","",H33)</f>
        <v>0</v>
      </c>
      <c r="L33" s="6">
        <f>IF(J33="","",J33)</f>
        <v>0</v>
      </c>
      <c r="N33" s="6">
        <f>IF(L33="","",L33)</f>
        <v>0</v>
      </c>
      <c r="P33" s="9"/>
      <c r="Q33" s="10"/>
      <c r="R33" s="11"/>
    </row>
    <row r="34" spans="2:18" ht="10.5" customHeight="1">
      <c r="P34" s="152"/>
      <c r="Q34" s="153"/>
      <c r="R34" s="154"/>
    </row>
    <row r="35" spans="2:18" ht="11.25" customHeight="1">
      <c r="P35" s="152"/>
      <c r="Q35" s="153"/>
      <c r="R35" s="154"/>
    </row>
    <row r="36" spans="2:18">
      <c r="C36" s="35" t="s">
        <v>58</v>
      </c>
      <c r="H36" s="94">
        <f>IF(H37=0,0,H37*VLOOKUP($D$11,CURRENCY_RATES!$A$2:$B$52,2,0))</f>
        <v>0</v>
      </c>
      <c r="J36" s="94">
        <f>IF(J37=0,0,J37*VLOOKUP($D$11,CURRENCY_RATES!$A$2:$B$52,2,0))</f>
        <v>0</v>
      </c>
      <c r="L36" s="94">
        <f>IF(L37=0,0,L37*VLOOKUP($D$11,CURRENCY_RATES!$A$2:$B$52,2,0))</f>
        <v>0</v>
      </c>
      <c r="N36" s="94">
        <f>IF(N37=0,0,N37*VLOOKUP($D$11,CURRENCY_RATES!$A$2:$B$52,2,0))</f>
        <v>0</v>
      </c>
      <c r="P36" s="9"/>
      <c r="Q36" s="153"/>
      <c r="R36" s="154"/>
    </row>
    <row r="37" spans="2:18" hidden="1">
      <c r="C37" s="35"/>
      <c r="G37" s="100" t="s">
        <v>8</v>
      </c>
      <c r="H37" s="94">
        <f>IF(H22="",0,VLOOKUP(MATCH(H27,Factors!$B$7:$B$12,1),Factors!$A$7:$E$12,4,0)*(H24^Factors!C17))</f>
        <v>0</v>
      </c>
      <c r="J37" s="94">
        <f>IF(J22="",0,VLOOKUP(MATCH(J27,Factors!$B$7:$B$12,1),Factors!$A$7:$E$12,4,0)*(J24^Factors!C18))</f>
        <v>0</v>
      </c>
      <c r="L37" s="94">
        <f>IF(L22="",0,VLOOKUP(MATCH(L27,Factors!$B$7:$B$12,1),Factors!$A$7:$E$12,4,0)*(L24^Factors!C19))</f>
        <v>0</v>
      </c>
      <c r="N37" s="94">
        <f>IF(N22="",0,VLOOKUP(MATCH(N27,Factors!$B$7:$B$12,1),Factors!$A$7:$E$12,4,0)*(N24^Factors!C20))</f>
        <v>0</v>
      </c>
      <c r="P37" s="9"/>
      <c r="Q37" s="153"/>
      <c r="R37" s="154"/>
    </row>
    <row r="38" spans="2:18">
      <c r="P38" s="152"/>
      <c r="Q38" s="153"/>
      <c r="R38" s="154"/>
    </row>
    <row r="39" spans="2:18">
      <c r="P39" s="152"/>
      <c r="Q39" s="153"/>
      <c r="R39" s="154"/>
    </row>
    <row r="40" spans="2:18">
      <c r="C40" s="32" t="s">
        <v>36</v>
      </c>
      <c r="P40" s="152"/>
      <c r="Q40" s="153"/>
      <c r="R40" s="154"/>
    </row>
    <row r="41" spans="2:18">
      <c r="F41" s="51"/>
      <c r="G41" s="51"/>
      <c r="P41" s="152"/>
      <c r="Q41" s="153"/>
      <c r="R41" s="154"/>
    </row>
    <row r="42" spans="2:18" ht="15.75" customHeight="1">
      <c r="C42" s="3" t="s">
        <v>9</v>
      </c>
      <c r="F42" s="58"/>
      <c r="G42" s="59">
        <v>3</v>
      </c>
      <c r="H42" s="60" t="str">
        <f>IF(H21="","",VLOOKUP($G$42,'Selections &amp; Links'!$A$4:$C$7,3,0))</f>
        <v/>
      </c>
      <c r="I42" s="78"/>
      <c r="J42" s="61"/>
      <c r="K42" s="78"/>
      <c r="L42" s="61"/>
      <c r="M42" s="78"/>
      <c r="N42" s="62"/>
      <c r="P42" s="9"/>
      <c r="Q42" s="153"/>
      <c r="R42" s="154"/>
    </row>
    <row r="43" spans="2:18" ht="5.25" customHeight="1">
      <c r="B43" s="3"/>
      <c r="F43" s="58"/>
      <c r="G43" s="59"/>
      <c r="H43" s="63"/>
      <c r="I43" s="79"/>
      <c r="J43" s="64"/>
      <c r="K43" s="79"/>
      <c r="L43" s="64"/>
      <c r="M43" s="79"/>
      <c r="N43" s="65"/>
      <c r="P43" s="9"/>
      <c r="Q43" s="153"/>
      <c r="R43" s="154"/>
    </row>
    <row r="44" spans="2:18" ht="16.5" customHeight="1">
      <c r="C44" s="3" t="s">
        <v>10</v>
      </c>
      <c r="F44" s="58"/>
      <c r="G44" s="59">
        <v>3</v>
      </c>
      <c r="H44" s="66" t="str">
        <f>IF(H21="","",VLOOKUP($G$44,'Selections &amp; Links'!$A$11:$C$13,3,0))</f>
        <v/>
      </c>
      <c r="I44" s="80"/>
      <c r="J44" s="67"/>
      <c r="K44" s="80"/>
      <c r="L44" s="67"/>
      <c r="M44" s="80"/>
      <c r="N44" s="68"/>
      <c r="P44" s="9"/>
      <c r="Q44" s="153"/>
      <c r="R44" s="154"/>
    </row>
    <row r="45" spans="2:18" ht="6" customHeight="1">
      <c r="B45" s="3"/>
      <c r="F45" s="58"/>
      <c r="G45" s="59"/>
      <c r="H45" s="69"/>
      <c r="I45" s="81"/>
      <c r="J45" s="70"/>
      <c r="K45" s="81"/>
      <c r="L45" s="70"/>
      <c r="M45" s="81"/>
      <c r="N45" s="71"/>
      <c r="P45" s="152"/>
      <c r="Q45" s="153"/>
      <c r="R45" s="154"/>
    </row>
    <row r="46" spans="2:18" ht="18" customHeight="1">
      <c r="C46" s="3" t="s">
        <v>11</v>
      </c>
      <c r="F46" s="58"/>
      <c r="G46" s="59">
        <v>5</v>
      </c>
      <c r="H46" s="66" t="str">
        <f>IF(H21="","",VLOOKUP($G$46,'Selections &amp; Links'!$A$17:$C$21,3,0))</f>
        <v/>
      </c>
      <c r="I46" s="80"/>
      <c r="J46" s="67"/>
      <c r="K46" s="80"/>
      <c r="L46" s="67"/>
      <c r="M46" s="80"/>
      <c r="N46" s="68"/>
      <c r="P46" s="9"/>
      <c r="Q46" s="153"/>
      <c r="R46" s="154"/>
    </row>
    <row r="47" spans="2:18" ht="7.5" customHeight="1">
      <c r="B47" s="3"/>
      <c r="F47" s="58"/>
      <c r="G47" s="59"/>
      <c r="H47" s="66"/>
      <c r="I47" s="80"/>
      <c r="J47" s="67"/>
      <c r="K47" s="80"/>
      <c r="L47" s="67"/>
      <c r="M47" s="80"/>
      <c r="N47" s="68"/>
      <c r="P47" s="152"/>
      <c r="Q47" s="153"/>
      <c r="R47" s="154"/>
    </row>
    <row r="48" spans="2:18">
      <c r="C48" s="3" t="s">
        <v>105</v>
      </c>
      <c r="F48" s="58"/>
      <c r="G48" s="59">
        <v>1</v>
      </c>
      <c r="H48" s="66" t="str">
        <f>IF(H21="","",VLOOKUP($G$48,'Selections &amp; Links'!$A$25:$E$27,5,0))</f>
        <v/>
      </c>
      <c r="I48" s="80"/>
      <c r="J48" s="67"/>
      <c r="K48" s="80"/>
      <c r="L48" s="67"/>
      <c r="M48" s="80"/>
      <c r="N48" s="68"/>
      <c r="P48" s="9"/>
      <c r="Q48" s="153"/>
      <c r="R48" s="154"/>
    </row>
    <row r="49" spans="2:18" ht="6.75" customHeight="1">
      <c r="C49" s="3"/>
      <c r="F49" s="58"/>
      <c r="G49" s="59"/>
      <c r="H49" s="66"/>
      <c r="I49" s="80"/>
      <c r="J49" s="67"/>
      <c r="K49" s="80"/>
      <c r="L49" s="67"/>
      <c r="M49" s="80"/>
      <c r="N49" s="68"/>
      <c r="P49" s="9"/>
      <c r="Q49" s="153"/>
      <c r="R49" s="154"/>
    </row>
    <row r="50" spans="2:18">
      <c r="C50" s="3" t="s">
        <v>107</v>
      </c>
      <c r="F50" s="58"/>
      <c r="G50" s="59">
        <v>1</v>
      </c>
      <c r="H50" s="66">
        <f>IF(H24="","",VLOOKUP($G$50,'Selections &amp; Links'!$A$30:$E$32,5,0))</f>
        <v>0.9</v>
      </c>
      <c r="I50" s="80"/>
      <c r="J50" s="67"/>
      <c r="K50" s="80"/>
      <c r="L50" s="67"/>
      <c r="M50" s="80"/>
      <c r="N50" s="68"/>
      <c r="P50" s="425"/>
      <c r="Q50" s="426"/>
      <c r="R50" s="427"/>
    </row>
    <row r="51" spans="2:18" ht="6" customHeight="1">
      <c r="B51" s="3"/>
      <c r="F51" s="58"/>
      <c r="G51" s="58"/>
      <c r="H51" s="69"/>
      <c r="I51" s="81"/>
      <c r="J51" s="70"/>
      <c r="K51" s="81"/>
      <c r="L51" s="70"/>
      <c r="M51" s="81"/>
      <c r="N51" s="71"/>
      <c r="P51" s="428"/>
      <c r="Q51" s="426"/>
      <c r="R51" s="427"/>
    </row>
    <row r="52" spans="2:18">
      <c r="C52" s="3" t="s">
        <v>12</v>
      </c>
      <c r="F52" s="58"/>
      <c r="G52" s="59">
        <v>3</v>
      </c>
      <c r="H52" s="72" t="str">
        <f>IF(H21="","",VLOOKUP($G$52,'Selections &amp; Links'!$A$36:$E$40,5,0))</f>
        <v/>
      </c>
      <c r="I52" s="82"/>
      <c r="J52" s="73"/>
      <c r="K52" s="82"/>
      <c r="L52" s="73"/>
      <c r="M52" s="82"/>
      <c r="N52" s="74"/>
      <c r="P52" s="425"/>
      <c r="Q52" s="426"/>
      <c r="R52" s="427"/>
    </row>
    <row r="53" spans="2:18" ht="6.75" customHeight="1">
      <c r="B53" s="3"/>
      <c r="F53" s="58"/>
      <c r="G53" s="59"/>
      <c r="H53" s="69"/>
      <c r="I53" s="81"/>
      <c r="J53" s="70"/>
      <c r="K53" s="81"/>
      <c r="L53" s="70"/>
      <c r="M53" s="81"/>
      <c r="N53" s="71"/>
      <c r="P53" s="428"/>
      <c r="Q53" s="426"/>
      <c r="R53" s="427"/>
    </row>
    <row r="54" spans="2:18">
      <c r="C54" s="3" t="s">
        <v>13</v>
      </c>
      <c r="F54" s="58"/>
      <c r="G54" s="59">
        <v>3</v>
      </c>
      <c r="H54" s="69" t="str">
        <f>IF(H21="","",VLOOKUP($G$54,'Selections &amp; Links'!$A$44:$C$46,3,0))</f>
        <v/>
      </c>
      <c r="I54" s="81"/>
      <c r="J54" s="70"/>
      <c r="K54" s="81"/>
      <c r="L54" s="70"/>
      <c r="M54" s="81"/>
      <c r="N54" s="71"/>
      <c r="P54" s="425"/>
      <c r="Q54" s="426"/>
      <c r="R54" s="427"/>
    </row>
    <row r="55" spans="2:18" ht="6.75" customHeight="1">
      <c r="B55" s="3"/>
      <c r="F55" s="58"/>
      <c r="G55" s="58"/>
      <c r="H55" s="69"/>
      <c r="I55" s="81"/>
      <c r="J55" s="70"/>
      <c r="K55" s="81"/>
      <c r="L55" s="70"/>
      <c r="M55" s="81"/>
      <c r="N55" s="71"/>
      <c r="P55" s="428"/>
      <c r="Q55" s="426"/>
      <c r="R55" s="427"/>
    </row>
    <row r="56" spans="2:18">
      <c r="C56" s="3" t="s">
        <v>14</v>
      </c>
      <c r="F56" s="58"/>
      <c r="G56" s="59">
        <v>3</v>
      </c>
      <c r="H56" s="69" t="str">
        <f>IF(H21="","",VLOOKUP($G$56,'Selections &amp; Links'!$A$50:$C$52,3,0))</f>
        <v/>
      </c>
      <c r="I56" s="81"/>
      <c r="J56" s="70"/>
      <c r="K56" s="81"/>
      <c r="L56" s="70"/>
      <c r="M56" s="81"/>
      <c r="N56" s="71"/>
      <c r="P56" s="425"/>
      <c r="Q56" s="426"/>
      <c r="R56" s="427"/>
    </row>
    <row r="57" spans="2:18" ht="7.5" customHeight="1">
      <c r="B57" s="3"/>
      <c r="F57" s="58"/>
      <c r="G57" s="58"/>
      <c r="H57" s="69"/>
      <c r="I57" s="81"/>
      <c r="J57" s="70"/>
      <c r="K57" s="81"/>
      <c r="L57" s="70"/>
      <c r="M57" s="81"/>
      <c r="N57" s="71"/>
      <c r="P57" s="428"/>
      <c r="Q57" s="426"/>
      <c r="R57" s="427"/>
    </row>
    <row r="58" spans="2:18">
      <c r="C58" s="3" t="s">
        <v>15</v>
      </c>
      <c r="F58" s="58"/>
      <c r="G58" s="59">
        <v>8</v>
      </c>
      <c r="H58" s="69" t="str">
        <f>IF(H21="","",VLOOKUP($G$58,'Selections &amp; Links'!$A$56:$D$64,4,0))</f>
        <v/>
      </c>
      <c r="I58" s="81"/>
      <c r="J58" s="70"/>
      <c r="K58" s="81"/>
      <c r="L58" s="70"/>
      <c r="M58" s="81"/>
      <c r="N58" s="71"/>
      <c r="P58" s="475"/>
      <c r="Q58" s="476"/>
      <c r="R58" s="477"/>
    </row>
    <row r="59" spans="2:18" ht="8.25" customHeight="1">
      <c r="B59" s="3"/>
      <c r="F59" s="58"/>
      <c r="G59" s="58"/>
      <c r="H59" s="69"/>
      <c r="I59" s="81"/>
      <c r="J59" s="70"/>
      <c r="K59" s="81"/>
      <c r="L59" s="70"/>
      <c r="M59" s="81"/>
      <c r="N59" s="71"/>
      <c r="P59" s="475"/>
      <c r="Q59" s="476"/>
      <c r="R59" s="477"/>
    </row>
    <row r="60" spans="2:18">
      <c r="C60" s="3" t="s">
        <v>16</v>
      </c>
      <c r="F60" s="58"/>
      <c r="G60" s="59">
        <v>3</v>
      </c>
      <c r="H60" s="69" t="str">
        <f>IF(H21="","",VLOOKUP($G$60,'Selections &amp; Links'!$A$68:$E$72,5,0))</f>
        <v/>
      </c>
      <c r="I60" s="81"/>
      <c r="J60" s="70"/>
      <c r="K60" s="81"/>
      <c r="L60" s="70"/>
      <c r="M60" s="81"/>
      <c r="N60" s="71"/>
      <c r="P60" s="475"/>
      <c r="Q60" s="476"/>
      <c r="R60" s="477"/>
    </row>
    <row r="61" spans="2:18" ht="6" customHeight="1">
      <c r="B61" s="3"/>
      <c r="F61" s="58"/>
      <c r="G61" s="58"/>
      <c r="H61" s="69"/>
      <c r="I61" s="81"/>
      <c r="J61" s="70"/>
      <c r="K61" s="81"/>
      <c r="L61" s="70"/>
      <c r="M61" s="81"/>
      <c r="N61" s="71"/>
      <c r="P61" s="428"/>
      <c r="Q61" s="426"/>
      <c r="R61" s="427"/>
    </row>
    <row r="62" spans="2:18">
      <c r="C62" s="3" t="s">
        <v>17</v>
      </c>
      <c r="F62" s="58"/>
      <c r="G62" s="59">
        <v>4</v>
      </c>
      <c r="H62" s="69" t="str">
        <f>IF(H21="","",VLOOKUP($G$62,'Selections &amp; Links'!$A$76:$F$80,6,0))</f>
        <v/>
      </c>
      <c r="I62" s="81"/>
      <c r="J62" s="70"/>
      <c r="K62" s="81"/>
      <c r="L62" s="70"/>
      <c r="M62" s="81"/>
      <c r="N62" s="71"/>
      <c r="P62" s="425"/>
      <c r="Q62" s="426"/>
      <c r="R62" s="427"/>
    </row>
    <row r="63" spans="2:18" ht="7.5" customHeight="1">
      <c r="B63" s="3"/>
      <c r="F63" s="58"/>
      <c r="G63" s="58"/>
      <c r="H63" s="69"/>
      <c r="I63" s="81"/>
      <c r="J63" s="70"/>
      <c r="K63" s="81"/>
      <c r="L63" s="70"/>
      <c r="M63" s="81"/>
      <c r="N63" s="71"/>
      <c r="P63" s="428"/>
      <c r="Q63" s="426"/>
      <c r="R63" s="427"/>
    </row>
    <row r="64" spans="2:18" ht="14.25" customHeight="1">
      <c r="C64" s="3" t="s">
        <v>91</v>
      </c>
      <c r="F64" s="58"/>
      <c r="G64" s="59">
        <v>1</v>
      </c>
      <c r="H64" s="69" t="str">
        <f>IF(H21="","",VLOOKUP($G$64,'Selections &amp; Links'!$A$84:$F$86,4,0))</f>
        <v/>
      </c>
      <c r="I64" s="81"/>
      <c r="J64" s="67"/>
      <c r="K64" s="81"/>
      <c r="L64" s="67"/>
      <c r="M64" s="81"/>
      <c r="N64" s="68"/>
      <c r="P64" s="425"/>
      <c r="Q64" s="426"/>
      <c r="R64" s="427"/>
    </row>
    <row r="65" spans="1:18" ht="9" customHeight="1">
      <c r="C65" s="3"/>
      <c r="F65" s="58"/>
      <c r="G65" s="59"/>
      <c r="H65" s="69"/>
      <c r="I65" s="81"/>
      <c r="J65" s="67"/>
      <c r="K65" s="81"/>
      <c r="L65" s="67"/>
      <c r="M65" s="81"/>
      <c r="N65" s="68"/>
      <c r="P65" s="428"/>
      <c r="Q65" s="426"/>
      <c r="R65" s="427"/>
    </row>
    <row r="66" spans="1:18" ht="14.25" customHeight="1">
      <c r="C66" s="3" t="s">
        <v>94</v>
      </c>
      <c r="F66" s="58"/>
      <c r="G66" s="59">
        <v>2</v>
      </c>
      <c r="H66" s="69" t="str">
        <f>IF(H21="","",VLOOKUP($G$66,'Selections &amp; Links'!$A$90:$F$91,6,0))</f>
        <v/>
      </c>
      <c r="I66" s="81"/>
      <c r="J66" s="70"/>
      <c r="K66" s="81"/>
      <c r="L66" s="70"/>
      <c r="M66" s="81"/>
      <c r="N66" s="71"/>
      <c r="P66" s="425"/>
      <c r="Q66" s="426"/>
      <c r="R66" s="427"/>
    </row>
    <row r="67" spans="1:18" ht="7.5" customHeight="1">
      <c r="C67" s="3"/>
      <c r="F67" s="58"/>
      <c r="G67" s="58"/>
      <c r="H67" s="69"/>
      <c r="I67" s="81"/>
      <c r="J67" s="70"/>
      <c r="K67" s="81"/>
      <c r="L67" s="70"/>
      <c r="M67" s="81"/>
      <c r="N67" s="71"/>
      <c r="P67" s="428"/>
      <c r="Q67" s="426"/>
      <c r="R67" s="427"/>
    </row>
    <row r="68" spans="1:18" ht="15" thickBot="1">
      <c r="C68" s="3" t="s">
        <v>18</v>
      </c>
      <c r="F68" s="58"/>
      <c r="G68" s="59">
        <v>2</v>
      </c>
      <c r="H68" s="75" t="str">
        <f>IF(H21="","",VLOOKUP($G$68,'Selections &amp; Links'!$A$95:$D$96,4,0))</f>
        <v/>
      </c>
      <c r="I68" s="83"/>
      <c r="J68" s="76"/>
      <c r="K68" s="83"/>
      <c r="L68" s="76"/>
      <c r="M68" s="83"/>
      <c r="N68" s="77"/>
      <c r="P68" s="475"/>
      <c r="Q68" s="476"/>
      <c r="R68" s="477"/>
    </row>
    <row r="69" spans="1:18">
      <c r="F69" s="51"/>
      <c r="G69" s="51"/>
      <c r="P69" s="475"/>
      <c r="Q69" s="476"/>
      <c r="R69" s="477"/>
    </row>
    <row r="70" spans="1:18">
      <c r="F70" s="51"/>
      <c r="G70" s="51"/>
      <c r="P70" s="152"/>
      <c r="Q70" s="153"/>
      <c r="R70" s="154"/>
    </row>
    <row r="71" spans="1:18">
      <c r="C71" s="35" t="s">
        <v>103</v>
      </c>
      <c r="H71" s="94">
        <f>IF(H21="",0,H36*$H$42*$H$44*$H$46*$H$48*$H$50*$H$52*$H$54*$H$56*$H$58*$H$60*$H$62*$H$64*$H$66*$H$68)</f>
        <v>0</v>
      </c>
      <c r="J71" s="94">
        <f>IF(J21="",0,J36*$H$42*$H$44*$H$46*$H$48*$H$50*$H$52*$H$54*$H$56*$H$58*$H$60*$H$62*$H$64*$H$66*$H$68)</f>
        <v>0</v>
      </c>
      <c r="L71" s="94">
        <f>IF(L21="",0,L36*$H$42*$H$44*$H$46*$H$48*$H$50*$H$52*$H$54*$H$56*$H$58*$H$60*$H$62*$H$64*$H$66*$H$68)</f>
        <v>0</v>
      </c>
      <c r="N71" s="94">
        <f>IF(N21="",0,N36*$H$42*$H$44*$H$46*$H$48*$H$50*$H$52*$H$54*$H$56*$H$58*$H$60*$H$62*$H$64*$H$66*$H$68)</f>
        <v>0</v>
      </c>
      <c r="P71" s="9"/>
      <c r="Q71" s="153"/>
      <c r="R71" s="154"/>
    </row>
    <row r="72" spans="1:18">
      <c r="B72" s="35"/>
      <c r="P72" s="152"/>
      <c r="Q72" s="153"/>
      <c r="R72" s="154"/>
    </row>
    <row r="73" spans="1:18">
      <c r="A73" s="102"/>
      <c r="B73" s="35"/>
      <c r="P73" s="152"/>
      <c r="Q73" s="153"/>
      <c r="R73" s="154"/>
    </row>
    <row r="74" spans="1:18">
      <c r="P74" s="152"/>
      <c r="Q74" s="153"/>
      <c r="R74" s="154"/>
    </row>
    <row r="75" spans="1:18">
      <c r="C75" s="33" t="s">
        <v>63</v>
      </c>
      <c r="G75" s="3"/>
      <c r="L75" s="3"/>
      <c r="P75" s="152"/>
      <c r="Q75" s="153"/>
      <c r="R75" s="154"/>
    </row>
    <row r="76" spans="1:18">
      <c r="C76" s="3" t="s">
        <v>49</v>
      </c>
      <c r="D76" s="58">
        <v>1</v>
      </c>
      <c r="E76" s="51"/>
      <c r="H76" s="97" t="str">
        <f>IF(H36=0,"",IF($D$76=1,"",IF(OR($D$76=2, $D$76=3),IF($E$78=1, 0.12-(0.06*$H$78),0.06)*$H$42*$H$44*$H$46*$H$48*$H$52*$H$54*$H$56*$H$58*$H$60*$H$62*$H$64*$H$66*$H$68*H$36, IF($D$76=4,IF($E$78=1, 0.34-(0.17*$H$78),0.17)*$H$42*$H$44*$H$46*$H$48*$H$52*$H$54*$H$56*$H$58*$H$60*$H$62*$H$64*$H$66*$H$68*H$36,IF($E$78=1, 0.44-(0.22*$H$78),0.22)*$H$42*$H$44*$H$46*$H$48*$H$52*$H$54*$H$56*$H$58*$H$60*$H$62*$H$64*$H$66*$H$68*H$36))))</f>
        <v/>
      </c>
      <c r="I76" s="98"/>
      <c r="J76" s="97" t="str">
        <f>IF(J36=0,"",IF($D$76=1,"",IF(OR($D$76=2, $D$76=3),IF($E$78=1, 0.12-(0.06*$H$78),0.06)*$H$42*$H$44*$H$46*$H$48*$H$52*$H$54*$H$56*$H$58*$H$60*$H$62*$H$64*$H$66*$H$68*J$36, IF($D$76=4,IF($E$78=1, 0.34-(0.17*$H$78),0.17)*$H$42*$H$44*$H$46*$H$48*$H$52*$H$54*$H$56*$H$58*$H$60*$H$62*$H$64*$H$66*$H$68*J$36,IF($E$78=1, 0.44-(0.22*$H$78),0.22)*$H$42*$H$44*$H$46*$H$48*$H$52*$H$54*$H$56*$H$58*$H$60*$H$62*$H$64*$H$66*$H$68*J$36))))</f>
        <v/>
      </c>
      <c r="K76" s="98"/>
      <c r="L76" s="97" t="str">
        <f>IF(L36=0,"",IF($D$76=1,"",IF(OR($D$76=2, $D$76=3),IF($E$78=1, 0.12-(0.06*$H$78),0.06)*$H$42*$H$44*$H$46*$H$48*$H$52*$H$54*$H$56*$H$58*$H$60*$H$62*$H$64*$H$66*$H$68*L$36, IF($D$76=4,IF($E$78=1, 0.34-(0.17*$H$78),0.17)*$H$42*$H$44*$H$46*$H$48*$H$52*$H$54*$H$56*$H$58*$H$60*$H$62*$H$64*$H$66*$H$68*L$36,IF($E$78=1, 0.44-(0.22*$H$78),0.22)*$H$42*$H$44*$H$46*$H$48*$H$52*$H$54*$H$56*$H$58*$H$60*$H$62*$H$64*$H$66*$H$68*L$36))))</f>
        <v/>
      </c>
      <c r="M76" s="98"/>
      <c r="N76" s="97" t="str">
        <f>IF(N36=0,"",IF($D$76=1,"",IF(OR($D$76=2, $D$76=3),IF($E$78=1, 0.12-(0.06*$H$78),0.06)*$H$42*$H$44*$H$46*$H$48*$H$52*$H$54*$H$56*$H$58*$H$60*$H$62*$H$64*$H$66*$H$68*N$36, IF($D$76=4,IF($E$78=1, 0.34-(0.17*$H$78),0.17)*$H$42*$H$44*$H$46*$H$48*$H$52*$H$54*$H$56*$H$58*$H$60*$H$62*$H$64*$H$66*$H$68*N$36,IF($E$78=1, 0.44-(0.22*$H$78),0.22)*$H$42*$H$44*$H$46*$H$48*$H$52*$H$54*$H$56*$H$58*$H$60*$H$62*$H$64*$H$66*$H$68*N$36))))</f>
        <v/>
      </c>
      <c r="P76" s="9"/>
      <c r="Q76" s="153"/>
      <c r="R76" s="154"/>
    </row>
    <row r="77" spans="1:18">
      <c r="C77" s="51"/>
      <c r="D77" s="51"/>
      <c r="E77" s="51"/>
      <c r="P77" s="152"/>
      <c r="Q77" s="153"/>
      <c r="R77" s="154"/>
    </row>
    <row r="78" spans="1:18">
      <c r="C78" s="3" t="s">
        <v>55</v>
      </c>
      <c r="E78" s="56">
        <v>1</v>
      </c>
      <c r="G78" s="57" t="s">
        <v>59</v>
      </c>
      <c r="H78" s="54"/>
      <c r="P78" s="152"/>
      <c r="Q78" s="153"/>
      <c r="R78" s="154"/>
    </row>
    <row r="79" spans="1:18">
      <c r="P79" s="152"/>
      <c r="Q79" s="153"/>
      <c r="R79" s="154"/>
    </row>
    <row r="80" spans="1:18">
      <c r="C80" s="35" t="s">
        <v>70</v>
      </c>
      <c r="H80" s="94">
        <f>IF(H21="",0,IF($D$76&lt;&gt;1,H71+H76,H71))</f>
        <v>0</v>
      </c>
      <c r="J80" s="94">
        <f>IF(J21="",0,IF($D$76&lt;&gt;1,J71+J76,J71))</f>
        <v>0</v>
      </c>
      <c r="L80" s="94">
        <f>IF(L21="",0,IF($D$76&lt;&gt;1,L71+L76,L71))</f>
        <v>0</v>
      </c>
      <c r="N80" s="94">
        <f>IF(N21="",0,IF($D$76&lt;&gt;1,N71+N76,N71))</f>
        <v>0</v>
      </c>
      <c r="P80" s="9"/>
      <c r="Q80" s="153"/>
      <c r="R80" s="154"/>
    </row>
    <row r="81" spans="3:18">
      <c r="P81" s="152"/>
      <c r="Q81" s="153"/>
      <c r="R81" s="154"/>
    </row>
    <row r="82" spans="3:18">
      <c r="P82" s="152"/>
      <c r="Q82" s="153"/>
      <c r="R82" s="154"/>
    </row>
    <row r="83" spans="3:18">
      <c r="H83" s="473" t="str">
        <f>IF(OR(H85&gt;H21,J85&gt;J21,L85&gt;L21,N85&gt;N21),"**** NOTE: SUBLIMIT IS &gt; LIMIT OF INDEMNITY", "")</f>
        <v/>
      </c>
      <c r="I83" s="473"/>
      <c r="J83" s="473"/>
      <c r="K83" s="473"/>
      <c r="L83" s="473"/>
      <c r="P83" s="152"/>
      <c r="Q83" s="153"/>
      <c r="R83" s="154"/>
    </row>
    <row r="84" spans="3:18">
      <c r="C84" s="33" t="s">
        <v>64</v>
      </c>
      <c r="H84" s="473"/>
      <c r="I84" s="473"/>
      <c r="J84" s="473"/>
      <c r="K84" s="473"/>
      <c r="L84" s="473"/>
      <c r="P84" s="152"/>
      <c r="Q84" s="153"/>
      <c r="R84" s="154"/>
    </row>
    <row r="85" spans="3:18">
      <c r="C85" s="3" t="s">
        <v>60</v>
      </c>
      <c r="H85" s="37"/>
      <c r="I85" s="51"/>
      <c r="J85" s="37"/>
      <c r="K85" s="51"/>
      <c r="L85" s="37"/>
      <c r="M85" s="51"/>
      <c r="N85" s="37"/>
      <c r="P85" s="9"/>
      <c r="Q85" s="153"/>
      <c r="R85" s="154"/>
    </row>
    <row r="86" spans="3:18" hidden="1">
      <c r="C86" s="3"/>
      <c r="G86" s="100" t="s">
        <v>8</v>
      </c>
      <c r="H86" s="103" t="str">
        <f>IF(H85="","",H85/VLOOKUP($D$11,CURRENCY_RATES!$A$2:$B$52,2,0))</f>
        <v/>
      </c>
      <c r="I86" s="51"/>
      <c r="J86" s="103" t="str">
        <f>IF(J85="","",J85/VLOOKUP($D$11,CURRENCY_RATES!$A$2:$B$52,2,0))</f>
        <v/>
      </c>
      <c r="K86" s="51"/>
      <c r="L86" s="103" t="str">
        <f>IF(L85="","",L85/VLOOKUP($D$11,CURRENCY_RATES!$A$2:$B$52,2,0))</f>
        <v/>
      </c>
      <c r="M86" s="51"/>
      <c r="N86" s="103" t="str">
        <f>IF(N85="","",N85/VLOOKUP($D$11,CURRENCY_RATES!$A$2:$B$52,2,0))</f>
        <v/>
      </c>
      <c r="P86" s="9"/>
      <c r="Q86" s="153"/>
      <c r="R86" s="154"/>
    </row>
    <row r="87" spans="3:18">
      <c r="C87" s="3" t="s">
        <v>61</v>
      </c>
      <c r="H87" s="54"/>
      <c r="I87" s="51"/>
      <c r="P87" s="9"/>
      <c r="Q87" s="153"/>
      <c r="R87" s="154"/>
    </row>
    <row r="88" spans="3:18">
      <c r="P88" s="152"/>
      <c r="Q88" s="153"/>
      <c r="R88" s="154"/>
    </row>
    <row r="89" spans="3:18">
      <c r="C89" s="36" t="s">
        <v>62</v>
      </c>
      <c r="H89" s="94">
        <f>IF(H85=0,$H$87*H80,VLOOKUP(MATCH(H27,Factors!$B$7:$B$12,1),Factors!$A$7:$E$12,4,0)*(H24^Factors!C38)*$H$42*$H$44*$H$46*$H$48*$H$50*$H$52*$H$54*$H$56*$H$58*$H$60*$H$62*$H$64*$H$66*$H$68*$H$87)</f>
        <v>0</v>
      </c>
      <c r="J89" s="94">
        <f>IF(J85=0,$H$87*J80,VLOOKUP(MATCH(J27,Factors!$B$7:$B$12,1),Factors!$A$7:$E$12,4,0)*(J24^Factors!C39)*$H$42*$H$44*$H$46*$H$48*$H$50*$H$52*$H$54*$H$56*$H$58*$H$60*$H$62*$H$64*$H$66*$H$68*$H$87)</f>
        <v>0</v>
      </c>
      <c r="L89" s="94">
        <f>IF(L85=0,$H$87*L80,VLOOKUP(MATCH(L27,Factors!$B$7:$B$12,1),Factors!$A$7:$E$12,4,0)*(L24^Factors!C40)*$H$42*$H$44*$H$46*$H$48*$H$50*$H$52*$H$54*$H$56*$H$58*$H$60*$H$62*$H$64*$H$66*$H$68*$H$87)</f>
        <v>0</v>
      </c>
      <c r="N89" s="94">
        <f>IF(N85=0,$H$87*N80,VLOOKUP(MATCH(N27,Factors!$B$7:$B$12,1),Factors!$A$7:$E$12,4,0)*(N24^Factors!C41)*$H$42*$H$44*$H$46*$H$48*$H$50*$H$52*$H$54*$H$56*$H$58*$H$60*$H$62*$H$64*$H$66*$H$68*$H$87)</f>
        <v>0</v>
      </c>
      <c r="P89" s="9"/>
      <c r="Q89" s="153"/>
      <c r="R89" s="154"/>
    </row>
    <row r="90" spans="3:18">
      <c r="P90" s="152"/>
      <c r="Q90" s="153"/>
      <c r="R90" s="154"/>
    </row>
    <row r="91" spans="3:18">
      <c r="P91" s="152"/>
      <c r="Q91" s="153"/>
      <c r="R91" s="154"/>
    </row>
    <row r="92" spans="3:18">
      <c r="P92" s="152"/>
      <c r="Q92" s="153"/>
      <c r="R92" s="154"/>
    </row>
    <row r="93" spans="3:18">
      <c r="C93" s="33" t="s">
        <v>264</v>
      </c>
      <c r="P93" s="152"/>
      <c r="Q93" s="153"/>
      <c r="R93" s="154"/>
    </row>
    <row r="94" spans="3:18">
      <c r="C94" s="3" t="s">
        <v>65</v>
      </c>
      <c r="H94" s="37"/>
      <c r="I94" s="51"/>
      <c r="J94" s="37"/>
      <c r="K94" s="51"/>
      <c r="L94" s="37"/>
      <c r="M94" s="51"/>
      <c r="N94" s="37"/>
      <c r="P94" s="458"/>
      <c r="Q94" s="459"/>
      <c r="R94" s="460"/>
    </row>
    <row r="95" spans="3:18" hidden="1">
      <c r="C95" s="3"/>
      <c r="H95" s="103" t="str">
        <f>IF(H94="","",H94/VLOOKUP($D$11,CURRENCY_RATES!$A$2:$B$52,2,0))</f>
        <v/>
      </c>
      <c r="I95" s="51"/>
      <c r="J95" s="103" t="str">
        <f>IF(J94="","",J94/VLOOKUP($D$11,CURRENCY_RATES!$A$2:$B$52,2,0))</f>
        <v/>
      </c>
      <c r="K95" s="51"/>
      <c r="L95" s="103" t="str">
        <f>IF(L94="","",L94/VLOOKUP($D$11,CURRENCY_RATES!$A$2:$B$52,2,0))</f>
        <v/>
      </c>
      <c r="M95" s="51"/>
      <c r="N95" s="103" t="str">
        <f>IF(N94="","",N94/VLOOKUP($D$11,CURRENCY_RATES!$A$2:$B$52,2,0))</f>
        <v/>
      </c>
      <c r="P95" s="152"/>
      <c r="Q95" s="153"/>
      <c r="R95" s="154"/>
    </row>
    <row r="96" spans="3:18">
      <c r="C96" s="3" t="s">
        <v>66</v>
      </c>
      <c r="H96" s="151">
        <v>0</v>
      </c>
      <c r="I96" s="55"/>
      <c r="J96" s="99"/>
      <c r="K96" s="55"/>
      <c r="L96" s="99"/>
      <c r="M96" s="55"/>
      <c r="N96" s="99"/>
      <c r="P96" s="458"/>
      <c r="Q96" s="459"/>
      <c r="R96" s="460"/>
    </row>
    <row r="97" spans="2:18">
      <c r="P97" s="458"/>
      <c r="Q97" s="459"/>
      <c r="R97" s="460"/>
    </row>
    <row r="98" spans="2:18">
      <c r="C98" s="36" t="s">
        <v>67</v>
      </c>
      <c r="H98" s="94">
        <f>IF(H94=0,$H$96*H80,VLOOKUP(MATCH(H27,Factors!$B$7:$B$12,1),Factors!$A$7:$E$12,4,0)*(H24^Factors!F38)*$H$42*$H$44*$H$46*$H$48*$H$50*$H$52*$H$54*$H$56*$H$58*$H$60*$H$62*$H$64*$H$66*$H$68*$H$96)</f>
        <v>0</v>
      </c>
      <c r="J98" s="94">
        <f>IF(J94=0,$H$96*J80,VLOOKUP(MATCH(J27,Factors!$B$7:$B$12,1),Factors!$A$7:$E$12,4,0)*(J24^Factors!F39)*$H$42*$H$44*$H$46*$H$48*$H$50*$H$52*$H$54*$H$56*$H$58*$H$60*$H$62*$H$64*$H$66*$H$68*$H$96)</f>
        <v>0</v>
      </c>
      <c r="L98" s="94">
        <f>IF(L94=0,$H$96*L80,VLOOKUP(MATCH(L27,Factors!$B$7:$B$12,1),Factors!$A$7:$E$12,4,0)*(L24^Factors!F40)*$H$42*$H$44*$H$46*$H$48*$H$50*$H$52*$H$54*$H$56*$H$58*$H$60*$H$62*$H$64*$H$66*$H$68*$H$96)</f>
        <v>0</v>
      </c>
      <c r="N98" s="94">
        <f>IF(N94=0,$H$96*N80,VLOOKUP(MATCH(N27,Factors!$B$7:$B$12,1),Factors!$A$7:$E$12,4,0)*(N24^Factors!F41)*$H$42*$H$44*$H$46*$H$48*$H$50*$H$52*$H$54*$H$56*$H$58*$H$60*$H$62*$H$64*$H$66*$H$68*$H$96)</f>
        <v>0</v>
      </c>
      <c r="P98" s="458"/>
      <c r="Q98" s="459"/>
      <c r="R98" s="460"/>
    </row>
    <row r="99" spans="2:18">
      <c r="P99" s="458"/>
      <c r="Q99" s="459"/>
      <c r="R99" s="460"/>
    </row>
    <row r="100" spans="2:18">
      <c r="P100" s="458"/>
      <c r="Q100" s="459"/>
      <c r="R100" s="460"/>
    </row>
    <row r="101" spans="2:18">
      <c r="P101" s="152"/>
      <c r="Q101" s="153"/>
      <c r="R101" s="154"/>
    </row>
    <row r="102" spans="2:18">
      <c r="B102" s="84" t="s">
        <v>132</v>
      </c>
      <c r="G102" s="85"/>
      <c r="H102" s="96">
        <f>H108*$D$14</f>
        <v>0</v>
      </c>
      <c r="I102" s="93"/>
      <c r="J102" s="96">
        <f>J108*$D$14</f>
        <v>0</v>
      </c>
      <c r="K102" s="93"/>
      <c r="L102" s="96">
        <f>L108*$D$14</f>
        <v>0</v>
      </c>
      <c r="M102" s="93"/>
      <c r="N102" s="96">
        <f>N108*$D$14</f>
        <v>0</v>
      </c>
      <c r="P102" s="152"/>
      <c r="Q102" s="153"/>
      <c r="R102" s="154"/>
    </row>
    <row r="103" spans="2:18">
      <c r="H103" s="93"/>
      <c r="I103" s="93"/>
      <c r="J103" s="93"/>
      <c r="K103" s="93"/>
      <c r="L103" s="93"/>
      <c r="M103" s="93"/>
      <c r="N103" s="93"/>
      <c r="P103" s="152"/>
      <c r="Q103" s="153"/>
      <c r="R103" s="154"/>
    </row>
    <row r="104" spans="2:18">
      <c r="B104" s="84" t="s">
        <v>114</v>
      </c>
      <c r="G104" s="89">
        <v>0.1</v>
      </c>
      <c r="H104" s="96">
        <f>$G$104*H108</f>
        <v>0</v>
      </c>
      <c r="I104" s="93"/>
      <c r="J104" s="96">
        <f>$G$104*J108</f>
        <v>0</v>
      </c>
      <c r="K104" s="93"/>
      <c r="L104" s="96">
        <f>$G$104*L108</f>
        <v>0</v>
      </c>
      <c r="M104" s="93"/>
      <c r="N104" s="96">
        <f>$G$104*N108</f>
        <v>0</v>
      </c>
      <c r="P104" s="152"/>
      <c r="Q104" s="153"/>
      <c r="R104" s="154"/>
    </row>
    <row r="105" spans="2:18">
      <c r="G105" s="90"/>
      <c r="H105" s="93"/>
      <c r="I105" s="93"/>
      <c r="J105" s="93"/>
      <c r="K105" s="93"/>
      <c r="L105" s="93"/>
      <c r="M105" s="93"/>
      <c r="N105" s="93"/>
      <c r="P105" s="152"/>
      <c r="Q105" s="153"/>
      <c r="R105" s="154"/>
    </row>
    <row r="106" spans="2:18">
      <c r="B106" s="84" t="s">
        <v>115</v>
      </c>
      <c r="G106" s="91">
        <v>0</v>
      </c>
      <c r="H106" s="96">
        <f>(H80+H89+H98)*$G$106*0.125</f>
        <v>0</v>
      </c>
      <c r="I106" s="93"/>
      <c r="J106" s="96">
        <f>(J80+J89+J98)*$G$106*0.125</f>
        <v>0</v>
      </c>
      <c r="K106" s="93"/>
      <c r="L106" s="96">
        <f>(L80+L89+L98)*$G$106*0.125</f>
        <v>0</v>
      </c>
      <c r="M106" s="93"/>
      <c r="N106" s="96">
        <f>(N80+N89+N98)*$G$106*0.125</f>
        <v>0</v>
      </c>
      <c r="P106" s="458"/>
      <c r="Q106" s="459"/>
      <c r="R106" s="460"/>
    </row>
    <row r="107" spans="2:18">
      <c r="P107" s="461"/>
      <c r="Q107" s="462"/>
      <c r="R107" s="463"/>
    </row>
    <row r="108" spans="2:18" ht="16" thickBot="1">
      <c r="B108" s="39" t="str">
        <f>IF(D11="","","TOTAL PREMIUM" &amp;" ("&amp;D11&amp;")")</f>
        <v>TOTAL PREMIUM (MYR)</v>
      </c>
      <c r="H108" s="95">
        <f>(H80+H89+H98+H106)/(1-$D$14-$G$104)</f>
        <v>0</v>
      </c>
      <c r="J108" s="95">
        <f>(J80+J89+J98+J106)/(1-$D$14-$G$104)</f>
        <v>0</v>
      </c>
      <c r="L108" s="95">
        <f>(L80+L89+L98+L106)/(1-$D$14-$G$104)</f>
        <v>0</v>
      </c>
      <c r="N108" s="95">
        <f>(N80+N89+N98+N106)/(1-$D$14-$G$104)</f>
        <v>0</v>
      </c>
      <c r="P108" s="9"/>
      <c r="Q108" s="12"/>
      <c r="R108" s="13"/>
    </row>
    <row r="109" spans="2:18">
      <c r="P109" s="9"/>
      <c r="Q109" s="12"/>
      <c r="R109" s="13"/>
    </row>
    <row r="110" spans="2:18">
      <c r="B110" s="84" t="s">
        <v>265</v>
      </c>
      <c r="H110" s="149" t="e">
        <f>IF(H108="","",(H80+H89+H98+H102)/H108)</f>
        <v>#DIV/0!</v>
      </c>
      <c r="J110" s="149" t="e">
        <f>IF(J108="","",(J80+J89+J98+J102)/J108)</f>
        <v>#DIV/0!</v>
      </c>
      <c r="L110" s="149" t="e">
        <f>IF(L108="","",(L80+L89+L98+L102)/L108)</f>
        <v>#DIV/0!</v>
      </c>
      <c r="N110" s="149" t="e">
        <f>IF(N108="","",(N80+N89+N98+N102)/N108)</f>
        <v>#DIV/0!</v>
      </c>
      <c r="P110" s="9"/>
      <c r="Q110" s="12"/>
      <c r="R110" s="13"/>
    </row>
    <row r="111" spans="2:18">
      <c r="P111" s="9"/>
      <c r="Q111" s="12"/>
      <c r="R111" s="13"/>
    </row>
    <row r="112" spans="2:18" ht="15.5">
      <c r="B112" s="148" t="str">
        <f>IF(D11="","","MARKET PREMIUM" &amp;" ("&amp;D11&amp;")")</f>
        <v>MARKET PREMIUM (MYR)</v>
      </c>
      <c r="H112" s="150"/>
      <c r="J112" s="150"/>
      <c r="L112" s="150"/>
      <c r="N112" s="52"/>
      <c r="P112" s="9"/>
      <c r="Q112" s="12"/>
      <c r="R112" s="13"/>
    </row>
    <row r="113" spans="2:18">
      <c r="H113" s="140"/>
      <c r="I113" s="140"/>
      <c r="J113" s="140"/>
      <c r="K113" s="140"/>
      <c r="L113" s="140"/>
      <c r="M113" s="140"/>
      <c r="N113" s="140"/>
      <c r="P113" s="9"/>
      <c r="Q113" s="12"/>
      <c r="R113" s="13"/>
    </row>
    <row r="114" spans="2:18">
      <c r="B114" s="84" t="s">
        <v>266</v>
      </c>
      <c r="H114" s="149" t="str">
        <f>IF(H112="","",(H80+H89+H98+H102)/H112)</f>
        <v/>
      </c>
      <c r="J114" s="149" t="str">
        <f>IF(J112="","",(J80+J89+J98+J102)/J112)</f>
        <v/>
      </c>
      <c r="L114" s="149" t="str">
        <f>IF(L112="","",(L80+L89+L98+L102)/L112)</f>
        <v/>
      </c>
      <c r="N114" s="149" t="str">
        <f>IF(N112="","",(N80+N89+N98+N102)/N112)</f>
        <v/>
      </c>
      <c r="P114" s="9"/>
      <c r="Q114" s="12"/>
      <c r="R114" s="13"/>
    </row>
    <row r="117" spans="2:18" ht="18" customHeight="1">
      <c r="N117" s="456" t="str">
        <f>IF(D11="","","PREMIUM" &amp;" ("&amp;D11&amp;")")</f>
        <v>PREMIUM (MYR)</v>
      </c>
      <c r="O117" s="456" t="str">
        <f>IF(D11="","","RATE PER MIL" &amp;" ("&amp;D11&amp;")")</f>
        <v>RATE PER MIL (MYR)</v>
      </c>
      <c r="P117" s="456"/>
    </row>
    <row r="118" spans="2:18">
      <c r="F118" s="112" t="str">
        <f>"R/I Layers in" &amp;" " &amp;D11 &amp;" 1's"</f>
        <v>R/I Layers in MYR 1's</v>
      </c>
      <c r="H118" s="122" t="s">
        <v>251</v>
      </c>
      <c r="I118" s="123"/>
      <c r="J118" s="122" t="s">
        <v>243</v>
      </c>
      <c r="K118" s="123"/>
      <c r="L118" s="122" t="s">
        <v>244</v>
      </c>
      <c r="N118" s="457"/>
      <c r="O118" s="457"/>
      <c r="P118" s="457"/>
    </row>
    <row r="119" spans="2:18" ht="15.5">
      <c r="G119" s="113" t="s">
        <v>245</v>
      </c>
      <c r="H119" s="116">
        <v>0</v>
      </c>
      <c r="I119" s="119"/>
      <c r="J119" s="124"/>
      <c r="K119" s="137"/>
      <c r="L119" s="114"/>
      <c r="N119" s="147" t="e">
        <f>IF(H119="","",((HLOOKUP('Input &amp; Cal'!$H$119,'Input &amp; Cal'!$H$21:$N$108,88,0)*Factors!D51)-(HLOOKUP('Input &amp; Cal'!$H$119,'Input &amp; Cal'!$H$21:$N$108,88,0)*Factors!D50))/Factors!D49)</f>
        <v>#N/A</v>
      </c>
      <c r="O119" s="454" t="e">
        <f>IF(N119="","",N119/(J119/1000000))</f>
        <v>#N/A</v>
      </c>
      <c r="P119" s="455"/>
    </row>
    <row r="120" spans="2:18" ht="15.5">
      <c r="G120" s="113" t="s">
        <v>246</v>
      </c>
      <c r="H120" s="117"/>
      <c r="I120" s="120"/>
      <c r="J120" s="125"/>
      <c r="K120" s="138"/>
      <c r="L120" s="115"/>
      <c r="N120" s="146" t="str">
        <f>IF(H120="","",((HLOOKUP('Input &amp; Cal'!$H$120,'Input &amp; Cal'!$H$21:$N$108,88,0)*Factors!D55)-(HLOOKUP('Input &amp; Cal'!$H$120,'Input &amp; Cal'!$H$21:$N$108,88,0)*Factors!D54))/Factors!D53)</f>
        <v/>
      </c>
      <c r="O120" s="454" t="str">
        <f t="shared" ref="O120:O124" si="0">IF(N120="","",N120/(J120/1000000))</f>
        <v/>
      </c>
      <c r="P120" s="455"/>
    </row>
    <row r="121" spans="2:18" ht="15.5">
      <c r="G121" s="113" t="s">
        <v>247</v>
      </c>
      <c r="H121" s="117"/>
      <c r="I121" s="120"/>
      <c r="J121" s="125"/>
      <c r="K121" s="138"/>
      <c r="L121" s="115"/>
      <c r="N121" s="146" t="str">
        <f>IF(H121="","",((HLOOKUP('Input &amp; Cal'!$H$121,'Input &amp; Cal'!$H$21:$N$108,88,0)*Factors!D59)-(HLOOKUP('Input &amp; Cal'!$H$121,'Input &amp; Cal'!$H$21:$N$108,88,0)*Factors!D58))/Factors!D57)</f>
        <v/>
      </c>
      <c r="O121" s="454" t="str">
        <f t="shared" si="0"/>
        <v/>
      </c>
      <c r="P121" s="455"/>
    </row>
    <row r="122" spans="2:18" ht="15.5">
      <c r="G122" s="113" t="s">
        <v>248</v>
      </c>
      <c r="H122" s="117"/>
      <c r="I122" s="120"/>
      <c r="J122" s="125"/>
      <c r="K122" s="138"/>
      <c r="L122" s="115"/>
      <c r="N122" s="146" t="str">
        <f>IF(H122="","",((HLOOKUP('Input &amp; Cal'!$H$122,'Input &amp; Cal'!$H$21:$N$108,88,0)*Factors!D63)-(HLOOKUP('Input &amp; Cal'!$H$122,'Input &amp; Cal'!$H$21:$N$108,88,0)*Factors!D62))/Factors!D61)</f>
        <v/>
      </c>
      <c r="O122" s="454" t="str">
        <f t="shared" si="0"/>
        <v/>
      </c>
      <c r="P122" s="455"/>
    </row>
    <row r="123" spans="2:18" ht="15.5">
      <c r="G123" s="113" t="s">
        <v>249</v>
      </c>
      <c r="H123" s="117"/>
      <c r="I123" s="120"/>
      <c r="J123" s="125"/>
      <c r="K123" s="138"/>
      <c r="L123" s="115"/>
      <c r="N123" s="146" t="str">
        <f>IF(H123="","",((HLOOKUP('Input &amp; Cal'!$H$123,'Input &amp; Cal'!$H$21:$N$108,88,0)*Factors!D67)-(HLOOKUP('Input &amp; Cal'!$H$123,'Input &amp; Cal'!$H$21:$N$108,88,0)*Factors!D66))/Factors!D65)</f>
        <v/>
      </c>
      <c r="O123" s="454" t="str">
        <f t="shared" si="0"/>
        <v/>
      </c>
      <c r="P123" s="455"/>
    </row>
    <row r="124" spans="2:18" ht="15.5">
      <c r="G124" s="113" t="s">
        <v>250</v>
      </c>
      <c r="H124" s="118"/>
      <c r="I124" s="121"/>
      <c r="J124" s="126"/>
      <c r="K124" s="139"/>
      <c r="L124" s="115"/>
      <c r="N124" s="146" t="str">
        <f>IF(H124="","",((HLOOKUP('Input &amp; Cal'!$H$124,'Input &amp; Cal'!$H$21:$N$108,88,0)*Factors!D71)-(HLOOKUP('Input &amp; Cal'!$H$124,'Input &amp; Cal'!$H$21:$N$108,88,0)*Factors!D70))/Factors!D69)</f>
        <v/>
      </c>
      <c r="O124" s="454" t="str">
        <f t="shared" si="0"/>
        <v/>
      </c>
      <c r="P124" s="455"/>
    </row>
  </sheetData>
  <sheetProtection formatCells="0" formatColumns="0"/>
  <sortState xmlns:xlrd2="http://schemas.microsoft.com/office/spreadsheetml/2017/richdata2" ref="U19:U26">
    <sortCondition ref="U19:U26"/>
  </sortState>
  <dataConsolidate/>
  <mergeCells count="29">
    <mergeCell ref="H83:L84"/>
    <mergeCell ref="D16:K16"/>
    <mergeCell ref="D17:K17"/>
    <mergeCell ref="Q18:R18"/>
    <mergeCell ref="Q19:R19"/>
    <mergeCell ref="P58:R60"/>
    <mergeCell ref="P68:R69"/>
    <mergeCell ref="D10:K10"/>
    <mergeCell ref="D12:K12"/>
    <mergeCell ref="D13:K13"/>
    <mergeCell ref="D14:K14"/>
    <mergeCell ref="D15:K15"/>
    <mergeCell ref="D11:K11"/>
    <mergeCell ref="P106:R106"/>
    <mergeCell ref="P107:R107"/>
    <mergeCell ref="P94:R94"/>
    <mergeCell ref="P96:R96"/>
    <mergeCell ref="P97:R97"/>
    <mergeCell ref="P98:R98"/>
    <mergeCell ref="P99:R99"/>
    <mergeCell ref="P100:R100"/>
    <mergeCell ref="O124:P124"/>
    <mergeCell ref="O117:P118"/>
    <mergeCell ref="N117:N118"/>
    <mergeCell ref="O119:P119"/>
    <mergeCell ref="O120:P120"/>
    <mergeCell ref="O121:P121"/>
    <mergeCell ref="O122:P122"/>
    <mergeCell ref="O123:P123"/>
  </mergeCells>
  <conditionalFormatting sqref="H32:H33 J32:J33 L32:L33 N32:N33">
    <cfRule type="expression" dxfId="3" priority="52">
      <formula>$H$9</formula>
    </cfRule>
  </conditionalFormatting>
  <conditionalFormatting sqref="J29 L29 N29 H29">
    <cfRule type="expression" dxfId="2" priority="51">
      <formula>$H$9</formula>
    </cfRule>
  </conditionalFormatting>
  <conditionalFormatting sqref="H76 J76 L76 N76">
    <cfRule type="expression" dxfId="1" priority="61">
      <formula>$D$76&lt;&gt;1</formula>
    </cfRule>
  </conditionalFormatting>
  <conditionalFormatting sqref="J76 L76 N76">
    <cfRule type="expression" dxfId="0" priority="65">
      <formula>$D$76&lt;&gt;1</formula>
    </cfRule>
  </conditionalFormatting>
  <dataValidations count="3">
    <dataValidation type="list" allowBlank="1" showInputMessage="1" showErrorMessage="1" sqref="H119:H124" xr:uid="{00000000-0002-0000-0000-000000000000}">
      <formula1>Basis_Limit</formula1>
    </dataValidation>
    <dataValidation type="list" allowBlank="1" showInputMessage="1" showErrorMessage="1" sqref="D11:K11" xr:uid="{00000000-0002-0000-0000-000001000000}">
      <formula1>Currencies</formula1>
    </dataValidation>
    <dataValidation type="list" allowBlank="1" showInputMessage="1" showErrorMessage="1" sqref="Q18:R18" xr:uid="{00000000-0002-0000-0000-000002000000}">
      <formula1>Underwriter</formula1>
    </dataValidation>
  </dataValidations>
  <pageMargins left="0.7" right="0.7" top="0.75" bottom="0.75" header="0.3" footer="0.3"/>
  <pageSetup paperSize="9" scale="4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 altText="no automatic - Manual">
                <anchor moveWithCells="1">
                  <from>
                    <xdr:col>4</xdr:col>
                    <xdr:colOff>114300</xdr:colOff>
                    <xdr:row>7</xdr:row>
                    <xdr:rowOff>228600</xdr:rowOff>
                  </from>
                  <to>
                    <xdr:col>6</xdr:col>
                    <xdr:colOff>1060450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defaultSize="0" autoLine="0" autoPict="0">
                <anchor moveWithCells="1">
                  <from>
                    <xdr:col>7</xdr:col>
                    <xdr:colOff>12700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defaultSize="0" autoLine="0" autoPict="0">
                <anchor moveWithCells="1">
                  <from>
                    <xdr:col>7</xdr:col>
                    <xdr:colOff>0</xdr:colOff>
                    <xdr:row>43</xdr:row>
                    <xdr:rowOff>12700</xdr:rowOff>
                  </from>
                  <to>
                    <xdr:col>14</xdr:col>
                    <xdr:colOff>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defaultSize="0" autoLine="0" autoPict="0">
                <anchor moveWithCells="1">
                  <from>
                    <xdr:col>7</xdr:col>
                    <xdr:colOff>0</xdr:colOff>
                    <xdr:row>45</xdr:row>
                    <xdr:rowOff>12700</xdr:rowOff>
                  </from>
                  <to>
                    <xdr:col>14</xdr:col>
                    <xdr:colOff>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defaultSize="0" autoLine="0" autoPict="0">
                <anchor moveWithCells="1">
                  <from>
                    <xdr:col>7</xdr:col>
                    <xdr:colOff>0</xdr:colOff>
                    <xdr:row>51</xdr:row>
                    <xdr:rowOff>0</xdr:rowOff>
                  </from>
                  <to>
                    <xdr:col>13</xdr:col>
                    <xdr:colOff>1536700</xdr:colOff>
                    <xdr:row>52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defaultSize="0" autoLine="0" autoPict="0">
                <anchor moveWithCells="1">
                  <from>
                    <xdr:col>7</xdr:col>
                    <xdr:colOff>0</xdr:colOff>
                    <xdr:row>53</xdr:row>
                    <xdr:rowOff>12700</xdr:rowOff>
                  </from>
                  <to>
                    <xdr:col>13</xdr:col>
                    <xdr:colOff>1536700</xdr:colOff>
                    <xdr:row>54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Drop Down 19">
              <controlPr defaultSize="0" autoLine="0" autoPict="0">
                <anchor moveWithCells="1">
                  <from>
                    <xdr:col>7</xdr:col>
                    <xdr:colOff>0</xdr:colOff>
                    <xdr:row>46</xdr:row>
                    <xdr:rowOff>107950</xdr:rowOff>
                  </from>
                  <to>
                    <xdr:col>13</xdr:col>
                    <xdr:colOff>1536700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Drop Down 20">
              <controlPr defaultSize="0" autoLine="0" autoPict="0">
                <anchor moveWithCells="1">
                  <from>
                    <xdr:col>7</xdr:col>
                    <xdr:colOff>0</xdr:colOff>
                    <xdr:row>55</xdr:row>
                    <xdr:rowOff>12700</xdr:rowOff>
                  </from>
                  <to>
                    <xdr:col>14</xdr:col>
                    <xdr:colOff>0</xdr:colOff>
                    <xdr:row>56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Drop Down 21">
              <controlPr defaultSize="0" autoLine="0" autoPict="0">
                <anchor moveWithCells="1">
                  <from>
                    <xdr:col>7</xdr:col>
                    <xdr:colOff>0</xdr:colOff>
                    <xdr:row>56</xdr:row>
                    <xdr:rowOff>114300</xdr:rowOff>
                  </from>
                  <to>
                    <xdr:col>13</xdr:col>
                    <xdr:colOff>1536700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Drop Down 22">
              <controlPr defaultSize="0" autoLine="0" autoPict="0">
                <anchor moveWithCells="1">
                  <from>
                    <xdr:col>7</xdr:col>
                    <xdr:colOff>0</xdr:colOff>
                    <xdr:row>58</xdr:row>
                    <xdr:rowOff>114300</xdr:rowOff>
                  </from>
                  <to>
                    <xdr:col>13</xdr:col>
                    <xdr:colOff>1536700</xdr:colOff>
                    <xdr:row>60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Drop Down 23">
              <controlPr defaultSize="0" autoLine="0" autoPict="0">
                <anchor moveWithCells="1">
                  <from>
                    <xdr:col>7</xdr:col>
                    <xdr:colOff>0</xdr:colOff>
                    <xdr:row>61</xdr:row>
                    <xdr:rowOff>12700</xdr:rowOff>
                  </from>
                  <to>
                    <xdr:col>13</xdr:col>
                    <xdr:colOff>1536700</xdr:colOff>
                    <xdr:row>62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Drop Down 25">
              <controlPr defaultSize="0" autoLine="0" autoPict="0">
                <anchor moveWithCells="1">
                  <from>
                    <xdr:col>7</xdr:col>
                    <xdr:colOff>0</xdr:colOff>
                    <xdr:row>67</xdr:row>
                    <xdr:rowOff>0</xdr:rowOff>
                  </from>
                  <to>
                    <xdr:col>13</xdr:col>
                    <xdr:colOff>1536700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Drop Down 26">
              <controlPr locked="0" defaultSize="0" autoLine="0" autoPict="0">
                <anchor moveWithCells="1">
                  <from>
                    <xdr:col>4</xdr:col>
                    <xdr:colOff>546100</xdr:colOff>
                    <xdr:row>75</xdr:row>
                    <xdr:rowOff>38100</xdr:rowOff>
                  </from>
                  <to>
                    <xdr:col>6</xdr:col>
                    <xdr:colOff>1155700</xdr:colOff>
                    <xdr:row>76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Drop Down 27">
              <controlPr locked="0" defaultSize="0" autoLine="0" autoPict="0">
                <anchor moveWithCells="1">
                  <from>
                    <xdr:col>3</xdr:col>
                    <xdr:colOff>488950</xdr:colOff>
                    <xdr:row>77</xdr:row>
                    <xdr:rowOff>0</xdr:rowOff>
                  </from>
                  <to>
                    <xdr:col>4</xdr:col>
                    <xdr:colOff>508000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Drop Down 28">
              <controlPr defaultSize="0" autoLine="0" autoPict="0">
                <anchor moveWithCells="1">
                  <from>
                    <xdr:col>7</xdr:col>
                    <xdr:colOff>0</xdr:colOff>
                    <xdr:row>63</xdr:row>
                    <xdr:rowOff>0</xdr:rowOff>
                  </from>
                  <to>
                    <xdr:col>13</xdr:col>
                    <xdr:colOff>1536700</xdr:colOff>
                    <xdr:row>64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Drop Down 29">
              <controlPr defaultSize="0" autoLine="0" autoPict="0">
                <anchor moveWithCells="1">
                  <from>
                    <xdr:col>7</xdr:col>
                    <xdr:colOff>0</xdr:colOff>
                    <xdr:row>64</xdr:row>
                    <xdr:rowOff>146050</xdr:rowOff>
                  </from>
                  <to>
                    <xdr:col>13</xdr:col>
                    <xdr:colOff>1536700</xdr:colOff>
                    <xdr:row>66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Drop Down 30">
              <controlPr defaultSize="0" autoLine="0" autoPict="0">
                <anchor moveWithCells="1">
                  <from>
                    <xdr:col>7</xdr:col>
                    <xdr:colOff>0</xdr:colOff>
                    <xdr:row>48</xdr:row>
                    <xdr:rowOff>107950</xdr:rowOff>
                  </from>
                  <to>
                    <xdr:col>13</xdr:col>
                    <xdr:colOff>1536700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1" name="Button 34">
              <controlPr defaultSize="0" print="0" autoFill="0" autoPict="0" macro="[0]!refreshCurrencyRate">
                <anchor moveWithCells="1" sizeWithCells="1">
                  <from>
                    <xdr:col>13</xdr:col>
                    <xdr:colOff>298450</xdr:colOff>
                    <xdr:row>9</xdr:row>
                    <xdr:rowOff>241300</xdr:rowOff>
                  </from>
                  <to>
                    <xdr:col>14</xdr:col>
                    <xdr:colOff>114300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F847-4714-422C-91CA-059D61306AAF}">
  <sheetPr codeName="Sheet6">
    <pageSetUpPr fitToPage="1"/>
  </sheetPr>
  <dimension ref="A2:K61"/>
  <sheetViews>
    <sheetView zoomScale="80" zoomScaleNormal="80" workbookViewId="0">
      <selection activeCell="H17" sqref="H17"/>
    </sheetView>
  </sheetViews>
  <sheetFormatPr defaultRowHeight="14.5"/>
  <cols>
    <col min="6" max="6" width="12.81640625" bestFit="1" customWidth="1"/>
    <col min="8" max="8" width="12.81640625" bestFit="1" customWidth="1"/>
    <col min="10" max="10" width="10.81640625" bestFit="1" customWidth="1"/>
  </cols>
  <sheetData>
    <row r="2" spans="1:11">
      <c r="A2" s="289"/>
      <c r="B2" s="289"/>
      <c r="C2" s="289"/>
      <c r="D2" s="289"/>
      <c r="E2" s="289"/>
      <c r="F2" s="289"/>
      <c r="G2" s="289"/>
      <c r="H2" s="289"/>
      <c r="I2" s="289"/>
      <c r="J2" s="289"/>
      <c r="K2" s="290"/>
    </row>
    <row r="3" spans="1:11">
      <c r="A3" s="289"/>
      <c r="B3" s="291" t="s">
        <v>352</v>
      </c>
      <c r="C3" s="292"/>
      <c r="D3" s="292"/>
      <c r="E3" s="289"/>
      <c r="F3" s="289"/>
      <c r="G3" s="289"/>
      <c r="H3" s="289"/>
      <c r="I3" s="289"/>
      <c r="J3" s="289"/>
      <c r="K3" s="290"/>
    </row>
    <row r="4" spans="1:11">
      <c r="A4" s="289"/>
      <c r="B4" s="293"/>
      <c r="C4" s="289"/>
      <c r="D4" s="289"/>
      <c r="E4" s="289"/>
      <c r="F4" s="289"/>
      <c r="G4" s="289"/>
      <c r="H4" s="289"/>
      <c r="I4" s="289"/>
      <c r="J4" s="289"/>
      <c r="K4" s="290"/>
    </row>
    <row r="5" spans="1:11">
      <c r="A5" s="294"/>
      <c r="B5" s="295" t="s">
        <v>353</v>
      </c>
      <c r="C5" s="289"/>
      <c r="D5" s="289"/>
      <c r="E5" s="289"/>
      <c r="F5" s="478">
        <f>'FA 2020'!C1</f>
        <v>0</v>
      </c>
      <c r="G5" s="479"/>
      <c r="H5" s="480"/>
      <c r="I5" s="290"/>
      <c r="J5" s="290"/>
      <c r="K5" s="290"/>
    </row>
    <row r="6" spans="1:11">
      <c r="A6" s="294"/>
      <c r="B6" s="295"/>
      <c r="C6" s="289"/>
      <c r="D6" s="289"/>
      <c r="E6" s="289"/>
      <c r="F6" s="296"/>
      <c r="G6" s="289"/>
      <c r="H6" s="297"/>
      <c r="I6" s="290"/>
      <c r="J6" s="290"/>
      <c r="K6" s="290"/>
    </row>
    <row r="7" spans="1:11">
      <c r="A7" s="289"/>
      <c r="B7" s="295" t="s">
        <v>354</v>
      </c>
      <c r="C7" s="289"/>
      <c r="D7" s="289"/>
      <c r="E7" s="289"/>
      <c r="F7" s="478"/>
      <c r="G7" s="479"/>
      <c r="H7" s="480"/>
      <c r="I7" s="290"/>
      <c r="J7" s="290"/>
      <c r="K7" s="290"/>
    </row>
    <row r="8" spans="1:11">
      <c r="A8" s="289"/>
      <c r="B8" s="295"/>
      <c r="C8" s="289"/>
      <c r="D8" s="289"/>
      <c r="E8" s="289"/>
      <c r="F8" s="296"/>
      <c r="G8" s="289"/>
      <c r="H8" s="297"/>
      <c r="I8" s="295"/>
      <c r="J8" s="289"/>
      <c r="K8" s="290"/>
    </row>
    <row r="9" spans="1:11">
      <c r="A9" s="298"/>
      <c r="B9" s="299" t="s">
        <v>355</v>
      </c>
      <c r="C9" s="289"/>
      <c r="D9" s="289"/>
      <c r="E9" s="289"/>
      <c r="F9" s="478" t="e">
        <f>#REF!</f>
        <v>#REF!</v>
      </c>
      <c r="G9" s="479"/>
      <c r="H9" s="480"/>
      <c r="I9" s="289"/>
      <c r="J9" s="289"/>
      <c r="K9" s="290"/>
    </row>
    <row r="10" spans="1:11">
      <c r="A10" s="298"/>
      <c r="B10" s="299"/>
      <c r="C10" s="289"/>
      <c r="D10" s="289"/>
      <c r="E10" s="289"/>
      <c r="F10" s="289"/>
      <c r="G10" s="289"/>
      <c r="H10" s="289"/>
      <c r="I10" s="289"/>
      <c r="J10" s="289"/>
      <c r="K10" s="290"/>
    </row>
    <row r="11" spans="1:11">
      <c r="A11" s="298"/>
      <c r="B11" s="299" t="s">
        <v>356</v>
      </c>
      <c r="C11" s="289"/>
      <c r="D11" s="289"/>
      <c r="E11" s="289"/>
      <c r="F11" s="300" t="s">
        <v>357</v>
      </c>
      <c r="G11" s="301" t="s">
        <v>358</v>
      </c>
      <c r="H11" s="300" t="s">
        <v>359</v>
      </c>
      <c r="I11" s="301" t="s">
        <v>360</v>
      </c>
      <c r="J11" s="302">
        <f ca="1">TODAY()</f>
        <v>45652</v>
      </c>
      <c r="K11" s="290"/>
    </row>
    <row r="12" spans="1:11">
      <c r="A12" s="298"/>
      <c r="B12" s="299"/>
      <c r="C12" s="289"/>
      <c r="D12" s="289"/>
      <c r="E12" s="289"/>
      <c r="F12" s="289"/>
      <c r="G12" s="289"/>
      <c r="H12" s="289"/>
      <c r="I12" s="301"/>
      <c r="J12" s="303"/>
      <c r="K12" s="290"/>
    </row>
    <row r="13" spans="1:11">
      <c r="A13" s="289"/>
      <c r="B13" s="295" t="s">
        <v>361</v>
      </c>
      <c r="C13" s="289"/>
      <c r="D13" s="289"/>
      <c r="E13" s="289"/>
      <c r="F13" s="300" t="s">
        <v>180</v>
      </c>
      <c r="G13" s="301" t="s">
        <v>362</v>
      </c>
      <c r="H13" s="304" t="s">
        <v>363</v>
      </c>
      <c r="I13" s="301" t="s">
        <v>113</v>
      </c>
      <c r="J13" s="300" t="s">
        <v>262</v>
      </c>
      <c r="K13" s="290"/>
    </row>
    <row r="14" spans="1:11">
      <c r="A14" s="289"/>
      <c r="B14" s="289"/>
      <c r="C14" s="289"/>
      <c r="D14" s="289"/>
      <c r="E14" s="289"/>
      <c r="F14" s="289"/>
      <c r="G14" s="289"/>
      <c r="H14" s="289"/>
      <c r="I14" s="289"/>
      <c r="J14" s="289"/>
      <c r="K14" s="290"/>
    </row>
    <row r="15" spans="1:11">
      <c r="A15" s="289"/>
      <c r="B15" s="481" t="s">
        <v>364</v>
      </c>
      <c r="C15" s="482"/>
      <c r="D15" s="482"/>
      <c r="E15" s="482"/>
      <c r="F15" s="482"/>
      <c r="G15" s="482"/>
      <c r="H15" s="482"/>
      <c r="I15" s="482"/>
      <c r="J15" s="482"/>
      <c r="K15" s="290"/>
    </row>
    <row r="16" spans="1:11">
      <c r="A16" s="289"/>
      <c r="B16" s="305"/>
      <c r="C16" s="306"/>
      <c r="D16" s="306"/>
      <c r="E16" s="306"/>
      <c r="F16" s="306"/>
      <c r="G16" s="306"/>
      <c r="H16" s="306"/>
      <c r="I16" s="306"/>
      <c r="J16" s="306"/>
      <c r="K16" s="290"/>
    </row>
    <row r="17" spans="1:11">
      <c r="A17" s="289"/>
      <c r="B17" s="289"/>
      <c r="C17" s="289"/>
      <c r="D17" s="289"/>
      <c r="E17" s="289"/>
      <c r="F17" s="307">
        <v>2020</v>
      </c>
      <c r="G17" s="308" t="s">
        <v>365</v>
      </c>
      <c r="H17" s="301">
        <f>F17-1</f>
        <v>2019</v>
      </c>
      <c r="I17" s="308" t="s">
        <v>365</v>
      </c>
      <c r="J17" s="301">
        <f>H17-1</f>
        <v>2018</v>
      </c>
      <c r="K17" s="290"/>
    </row>
    <row r="18" spans="1:11">
      <c r="A18" s="289"/>
      <c r="B18" s="289"/>
      <c r="C18" s="289"/>
      <c r="D18" s="289"/>
      <c r="E18" s="289"/>
      <c r="F18" s="309"/>
      <c r="G18" s="308"/>
      <c r="H18" s="301"/>
      <c r="I18" s="308"/>
      <c r="J18" s="301"/>
      <c r="K18" s="290"/>
    </row>
    <row r="19" spans="1:11">
      <c r="A19" s="289"/>
      <c r="B19" s="295" t="s">
        <v>366</v>
      </c>
      <c r="C19" s="289"/>
      <c r="D19" s="289"/>
      <c r="E19" s="289"/>
      <c r="F19" s="310">
        <f>'FA 2020'!C21</f>
        <v>0</v>
      </c>
      <c r="G19" s="311" t="e">
        <f>($F19-$H19)/$H19</f>
        <v>#DIV/0!</v>
      </c>
      <c r="H19" s="310">
        <f>'FA 2020'!D21</f>
        <v>0</v>
      </c>
      <c r="I19" s="311" t="e">
        <f>($H19-$J19)/$J19</f>
        <v>#DIV/0!</v>
      </c>
      <c r="J19" s="310"/>
      <c r="K19" s="290"/>
    </row>
    <row r="20" spans="1:11">
      <c r="A20" s="289"/>
      <c r="B20" s="295"/>
      <c r="C20" s="289"/>
      <c r="D20" s="289"/>
      <c r="E20" s="289"/>
      <c r="F20" s="312"/>
      <c r="G20" s="311"/>
      <c r="H20" s="313"/>
      <c r="I20" s="311"/>
      <c r="J20" s="313"/>
      <c r="K20" s="290"/>
    </row>
    <row r="21" spans="1:11">
      <c r="A21" s="289"/>
      <c r="B21" s="295" t="s">
        <v>367</v>
      </c>
      <c r="C21" s="289"/>
      <c r="D21" s="289"/>
      <c r="E21" s="289"/>
      <c r="F21" s="310">
        <f>'FA 2020'!C20</f>
        <v>0</v>
      </c>
      <c r="G21" s="311" t="e">
        <f>($F21-$H21)/$H21</f>
        <v>#DIV/0!</v>
      </c>
      <c r="H21" s="310">
        <f>'FA 2020'!D20</f>
        <v>0</v>
      </c>
      <c r="I21" s="311" t="e">
        <f>($H21-$J21)/$J21</f>
        <v>#DIV/0!</v>
      </c>
      <c r="J21" s="310"/>
      <c r="K21" s="290"/>
    </row>
    <row r="22" spans="1:11">
      <c r="A22" s="289"/>
      <c r="B22" s="295"/>
      <c r="C22" s="289"/>
      <c r="D22" s="289"/>
      <c r="E22" s="289"/>
      <c r="F22" s="312"/>
      <c r="G22" s="311"/>
      <c r="H22" s="312"/>
      <c r="I22" s="311"/>
      <c r="J22" s="312"/>
      <c r="K22" s="290"/>
    </row>
    <row r="23" spans="1:11">
      <c r="A23" s="289"/>
      <c r="B23" s="295" t="s">
        <v>368</v>
      </c>
      <c r="C23" s="289"/>
      <c r="D23" s="289"/>
      <c r="E23" s="289"/>
      <c r="F23" s="310">
        <f>'FA 2020'!C13</f>
        <v>0</v>
      </c>
      <c r="G23" s="311" t="e">
        <f>($F23-$H23)/$H23</f>
        <v>#DIV/0!</v>
      </c>
      <c r="H23" s="310">
        <f>'FA 2020'!D13</f>
        <v>0</v>
      </c>
      <c r="I23" s="311" t="e">
        <f>($H23-$J23)/$J23</f>
        <v>#DIV/0!</v>
      </c>
      <c r="J23" s="310"/>
      <c r="K23" s="290"/>
    </row>
    <row r="24" spans="1:11">
      <c r="A24" s="289"/>
      <c r="B24" s="295"/>
      <c r="C24" s="289"/>
      <c r="D24" s="289"/>
      <c r="E24" s="289"/>
      <c r="F24" s="312"/>
      <c r="G24" s="311"/>
      <c r="H24" s="312"/>
      <c r="I24" s="311"/>
      <c r="J24" s="312"/>
      <c r="K24" s="290"/>
    </row>
    <row r="25" spans="1:11">
      <c r="A25" s="289"/>
      <c r="B25" s="295" t="s">
        <v>369</v>
      </c>
      <c r="C25" s="289"/>
      <c r="D25" s="289"/>
      <c r="E25" s="289"/>
      <c r="F25" s="310">
        <f>'FA 2020'!C14</f>
        <v>0</v>
      </c>
      <c r="G25" s="311" t="e">
        <f>($F25-$H25)/$H25</f>
        <v>#DIV/0!</v>
      </c>
      <c r="H25" s="310">
        <f>'FA 2020'!D14</f>
        <v>0</v>
      </c>
      <c r="I25" s="311" t="e">
        <f>($H25-$J25)/$J25</f>
        <v>#DIV/0!</v>
      </c>
      <c r="J25" s="310"/>
      <c r="K25" s="290"/>
    </row>
    <row r="26" spans="1:11">
      <c r="A26" s="289"/>
      <c r="B26" s="295"/>
      <c r="C26" s="289"/>
      <c r="D26" s="289"/>
      <c r="E26" s="289"/>
      <c r="F26" s="313"/>
      <c r="G26" s="311"/>
      <c r="H26" s="312"/>
      <c r="I26" s="311"/>
      <c r="J26" s="312"/>
      <c r="K26" s="290"/>
    </row>
    <row r="27" spans="1:11">
      <c r="A27" s="289"/>
      <c r="B27" s="295" t="s">
        <v>370</v>
      </c>
      <c r="C27" s="289"/>
      <c r="D27" s="289"/>
      <c r="E27" s="289"/>
      <c r="F27" s="310">
        <f>'FA 2020'!C12</f>
        <v>0</v>
      </c>
      <c r="G27" s="311" t="e">
        <f>($F27-$H27)/$H27</f>
        <v>#DIV/0!</v>
      </c>
      <c r="H27" s="310">
        <f>'FA 2020'!D12</f>
        <v>0</v>
      </c>
      <c r="I27" s="311" t="e">
        <f>($H27-$J27)/$J27</f>
        <v>#DIV/0!</v>
      </c>
      <c r="J27" s="310"/>
      <c r="K27" s="290"/>
    </row>
    <row r="28" spans="1:11">
      <c r="A28" s="289"/>
      <c r="B28" s="295"/>
      <c r="C28" s="289"/>
      <c r="D28" s="289"/>
      <c r="E28" s="289"/>
      <c r="F28" s="312"/>
      <c r="G28" s="311"/>
      <c r="H28" s="312"/>
      <c r="I28" s="311"/>
      <c r="J28" s="312"/>
      <c r="K28" s="290"/>
    </row>
    <row r="29" spans="1:11">
      <c r="A29" s="289"/>
      <c r="B29" s="295" t="s">
        <v>270</v>
      </c>
      <c r="C29" s="289"/>
      <c r="D29" s="289"/>
      <c r="E29" s="289"/>
      <c r="F29" s="310">
        <f>'FA 2020'!C35</f>
        <v>0</v>
      </c>
      <c r="G29" s="311" t="e">
        <f>($F29-$H29)/$H29</f>
        <v>#DIV/0!</v>
      </c>
      <c r="H29" s="310">
        <f>'FA 2020'!D35</f>
        <v>0</v>
      </c>
      <c r="I29" s="311" t="e">
        <f>($H29-$J29)/$J29</f>
        <v>#DIV/0!</v>
      </c>
      <c r="J29" s="310"/>
      <c r="K29" s="290"/>
    </row>
    <row r="30" spans="1:11">
      <c r="A30" s="289"/>
      <c r="B30" s="295"/>
      <c r="C30" s="289"/>
      <c r="D30" s="289"/>
      <c r="E30" s="289"/>
      <c r="F30" s="312"/>
      <c r="G30" s="311"/>
      <c r="H30" s="312"/>
      <c r="I30" s="311"/>
      <c r="J30" s="312"/>
      <c r="K30" s="290"/>
    </row>
    <row r="31" spans="1:11">
      <c r="A31" s="289"/>
      <c r="B31" s="295" t="s">
        <v>371</v>
      </c>
      <c r="C31" s="289"/>
      <c r="D31" s="289"/>
      <c r="E31" s="314"/>
      <c r="F31" s="310">
        <f>'FA 2020'!C72</f>
        <v>0</v>
      </c>
      <c r="G31" s="311" t="e">
        <f>($F31-$H31)/$H31</f>
        <v>#DIV/0!</v>
      </c>
      <c r="H31" s="310">
        <f>'FA 2020'!D72</f>
        <v>0</v>
      </c>
      <c r="I31" s="311" t="e">
        <f>($H31-$J31)/$J31</f>
        <v>#DIV/0!</v>
      </c>
      <c r="J31" s="310"/>
      <c r="K31" s="290"/>
    </row>
    <row r="32" spans="1:11">
      <c r="A32" s="289"/>
      <c r="B32" s="295"/>
      <c r="C32" s="289"/>
      <c r="D32" s="289"/>
      <c r="E32" s="289"/>
      <c r="F32" s="312"/>
      <c r="G32" s="311"/>
      <c r="H32" s="312"/>
      <c r="I32" s="311"/>
      <c r="J32" s="312"/>
      <c r="K32" s="290"/>
    </row>
    <row r="33" spans="1:11">
      <c r="A33" s="289"/>
      <c r="B33" s="295" t="s">
        <v>372</v>
      </c>
      <c r="C33" s="289"/>
      <c r="D33" s="289"/>
      <c r="E33" s="289"/>
      <c r="F33" s="310">
        <f>'FA 2020'!C62</f>
        <v>0</v>
      </c>
      <c r="G33" s="311" t="e">
        <f>($F33-$H33)/$H33</f>
        <v>#DIV/0!</v>
      </c>
      <c r="H33" s="310">
        <f>'FA 2020'!D62</f>
        <v>0</v>
      </c>
      <c r="I33" s="311" t="e">
        <f>($H33-$J33)/$J33</f>
        <v>#DIV/0!</v>
      </c>
      <c r="J33" s="310"/>
      <c r="K33" s="290"/>
    </row>
    <row r="34" spans="1:11">
      <c r="A34" s="289"/>
      <c r="B34" s="295"/>
      <c r="C34" s="289"/>
      <c r="D34" s="289"/>
      <c r="E34" s="289"/>
      <c r="F34" s="312"/>
      <c r="G34" s="311"/>
      <c r="H34" s="312"/>
      <c r="I34" s="311"/>
      <c r="J34" s="312"/>
      <c r="K34" s="290"/>
    </row>
    <row r="35" spans="1:11">
      <c r="A35" s="289"/>
      <c r="B35" s="295" t="s">
        <v>373</v>
      </c>
      <c r="C35" s="289"/>
      <c r="D35" s="289"/>
      <c r="E35" s="289"/>
      <c r="F35" s="310">
        <f>'FA 2020'!C51</f>
        <v>0</v>
      </c>
      <c r="G35" s="311" t="e">
        <f>($F35-$H35)/$H35</f>
        <v>#DIV/0!</v>
      </c>
      <c r="H35" s="310">
        <f>'FA 2020'!D51</f>
        <v>0</v>
      </c>
      <c r="I35" s="311" t="e">
        <f>($H35-$J35)/$J35</f>
        <v>#DIV/0!</v>
      </c>
      <c r="J35" s="310"/>
      <c r="K35" s="290"/>
    </row>
    <row r="36" spans="1:11">
      <c r="A36" s="289"/>
      <c r="B36" s="295"/>
      <c r="C36" s="289"/>
      <c r="D36" s="289"/>
      <c r="E36" s="289"/>
      <c r="F36" s="312"/>
      <c r="G36" s="311"/>
      <c r="H36" s="312"/>
      <c r="I36" s="311"/>
      <c r="J36" s="312"/>
      <c r="K36" s="290"/>
    </row>
    <row r="37" spans="1:11">
      <c r="A37" s="289"/>
      <c r="B37" s="295" t="s">
        <v>374</v>
      </c>
      <c r="C37" s="289"/>
      <c r="D37" s="289"/>
      <c r="E37" s="289"/>
      <c r="F37" s="310">
        <f>'FA 2020'!C76</f>
        <v>0</v>
      </c>
      <c r="G37" s="311" t="e">
        <f>($F37-$H37)/$H37</f>
        <v>#DIV/0!</v>
      </c>
      <c r="H37" s="310">
        <f>'FA 2020'!D76</f>
        <v>0</v>
      </c>
      <c r="I37" s="311" t="e">
        <f>($H37-$J37)/$J37</f>
        <v>#DIV/0!</v>
      </c>
      <c r="J37" s="310"/>
      <c r="K37" s="290"/>
    </row>
    <row r="38" spans="1:11">
      <c r="A38" s="289"/>
      <c r="B38" s="295"/>
      <c r="C38" s="289"/>
      <c r="D38" s="289"/>
      <c r="E38" s="289"/>
      <c r="F38" s="312"/>
      <c r="G38" s="311"/>
      <c r="H38" s="312"/>
      <c r="I38" s="311"/>
      <c r="J38" s="312"/>
      <c r="K38" s="290"/>
    </row>
    <row r="39" spans="1:11">
      <c r="A39" s="289"/>
      <c r="B39" s="295" t="s">
        <v>375</v>
      </c>
      <c r="C39" s="289"/>
      <c r="D39" s="289"/>
      <c r="E39" s="289"/>
      <c r="F39" s="310">
        <f>'FA 2020'!C85</f>
        <v>0</v>
      </c>
      <c r="G39" s="311" t="e">
        <f>($F39-$H39)/$H39</f>
        <v>#DIV/0!</v>
      </c>
      <c r="H39" s="310">
        <f>'FA 2020'!D85</f>
        <v>0</v>
      </c>
      <c r="I39" s="311" t="e">
        <f>($H39-$J39)/$J39</f>
        <v>#DIV/0!</v>
      </c>
      <c r="J39" s="310"/>
      <c r="K39" s="290"/>
    </row>
    <row r="40" spans="1:11">
      <c r="A40" s="289"/>
      <c r="B40" s="295"/>
      <c r="C40" s="289"/>
      <c r="D40" s="289"/>
      <c r="E40" s="289"/>
      <c r="F40" s="312"/>
      <c r="G40" s="311"/>
      <c r="H40" s="312"/>
      <c r="I40" s="311"/>
      <c r="J40" s="312"/>
      <c r="K40" s="290"/>
    </row>
    <row r="41" spans="1:11">
      <c r="A41" s="289"/>
      <c r="B41" s="295" t="s">
        <v>376</v>
      </c>
      <c r="C41" s="289"/>
      <c r="D41" s="289"/>
      <c r="E41" s="289"/>
      <c r="F41" s="310">
        <f>'FA 2020'!C88</f>
        <v>0</v>
      </c>
      <c r="G41" s="311" t="e">
        <f>($F41-$H41)/$H41</f>
        <v>#DIV/0!</v>
      </c>
      <c r="H41" s="310">
        <f>'FA 2020'!D88</f>
        <v>0</v>
      </c>
      <c r="I41" s="311" t="e">
        <f>($H41-$J41)/$J41</f>
        <v>#DIV/0!</v>
      </c>
      <c r="J41" s="310"/>
      <c r="K41" s="290"/>
    </row>
    <row r="42" spans="1:11">
      <c r="A42" s="289"/>
      <c r="B42" s="295"/>
      <c r="C42" s="289"/>
      <c r="D42" s="289"/>
      <c r="E42" s="289"/>
      <c r="F42" s="312"/>
      <c r="G42" s="311"/>
      <c r="H42" s="312"/>
      <c r="I42" s="311"/>
      <c r="J42" s="312"/>
      <c r="K42" s="290"/>
    </row>
    <row r="43" spans="1:11">
      <c r="A43" s="289"/>
      <c r="B43" s="295" t="s">
        <v>377</v>
      </c>
      <c r="C43" s="289"/>
      <c r="D43" s="289"/>
      <c r="E43" s="289"/>
      <c r="F43" s="310">
        <f>'FA 2020'!C92</f>
        <v>0</v>
      </c>
      <c r="G43" s="311" t="e">
        <f>($F43-$H43)/$H43</f>
        <v>#DIV/0!</v>
      </c>
      <c r="H43" s="310">
        <f>'FA 2020'!D92</f>
        <v>0</v>
      </c>
      <c r="I43" s="311" t="e">
        <f>($H43-$J43)/$J43</f>
        <v>#DIV/0!</v>
      </c>
      <c r="J43" s="310"/>
      <c r="K43" s="290"/>
    </row>
    <row r="44" spans="1:11">
      <c r="A44" s="289"/>
      <c r="B44" s="295"/>
      <c r="C44" s="289"/>
      <c r="D44" s="289"/>
      <c r="E44" s="289"/>
      <c r="F44" s="312"/>
      <c r="G44" s="311"/>
      <c r="H44" s="312"/>
      <c r="I44" s="311"/>
      <c r="J44" s="312"/>
      <c r="K44" s="290"/>
    </row>
    <row r="45" spans="1:11">
      <c r="A45" s="289"/>
      <c r="B45" s="295" t="s">
        <v>378</v>
      </c>
      <c r="C45" s="289"/>
      <c r="D45" s="289"/>
      <c r="E45" s="289"/>
      <c r="F45" s="310">
        <f>'FA 2020'!C95</f>
        <v>0</v>
      </c>
      <c r="G45" s="311" t="e">
        <f>($F45-$H45)/$H45</f>
        <v>#DIV/0!</v>
      </c>
      <c r="H45" s="310">
        <f>'FA 2020'!D95</f>
        <v>0</v>
      </c>
      <c r="I45" s="311" t="e">
        <f>($H45-$J45)/$J45</f>
        <v>#DIV/0!</v>
      </c>
      <c r="J45" s="310"/>
      <c r="K45" s="290"/>
    </row>
    <row r="46" spans="1:11">
      <c r="A46" s="289"/>
      <c r="B46" s="295"/>
      <c r="C46" s="289"/>
      <c r="D46" s="289"/>
      <c r="E46" s="289"/>
      <c r="F46" s="312"/>
      <c r="G46" s="311"/>
      <c r="H46" s="312"/>
      <c r="I46" s="311"/>
      <c r="J46" s="312"/>
      <c r="K46" s="290"/>
    </row>
    <row r="47" spans="1:11">
      <c r="A47" s="289"/>
      <c r="B47" s="295" t="s">
        <v>379</v>
      </c>
      <c r="C47" s="289"/>
      <c r="D47" s="289"/>
      <c r="E47" s="289"/>
      <c r="F47" s="310">
        <f>F45</f>
        <v>0</v>
      </c>
      <c r="G47" s="311" t="e">
        <f>($F47-$H47)/$H47</f>
        <v>#DIV/0!</v>
      </c>
      <c r="H47" s="310">
        <f>H45</f>
        <v>0</v>
      </c>
      <c r="I47" s="311" t="e">
        <f>($H47-$J47)/$J47</f>
        <v>#DIV/0!</v>
      </c>
      <c r="J47" s="310"/>
      <c r="K47" s="290"/>
    </row>
    <row r="48" spans="1:11">
      <c r="A48" s="289"/>
      <c r="B48" s="295"/>
      <c r="C48" s="289"/>
      <c r="D48" s="289"/>
      <c r="E48" s="289"/>
      <c r="F48" s="315"/>
      <c r="G48" s="311"/>
      <c r="H48" s="315"/>
      <c r="I48" s="311"/>
      <c r="J48" s="315"/>
      <c r="K48" s="290"/>
    </row>
    <row r="49" spans="1:11">
      <c r="A49" s="289"/>
      <c r="B49" s="295" t="s">
        <v>380</v>
      </c>
      <c r="C49" s="289"/>
      <c r="D49" s="289"/>
      <c r="E49" s="289"/>
      <c r="F49" s="310"/>
      <c r="G49" s="311" t="e">
        <f>($F49-$H49)/$H49</f>
        <v>#DIV/0!</v>
      </c>
      <c r="H49" s="310"/>
      <c r="I49" s="311" t="e">
        <f>($H49-$J49)/$J49</f>
        <v>#DIV/0!</v>
      </c>
      <c r="J49" s="310"/>
      <c r="K49" s="290"/>
    </row>
    <row r="50" spans="1:11">
      <c r="A50" s="289"/>
      <c r="B50" s="289"/>
      <c r="C50" s="289"/>
      <c r="D50" s="289"/>
      <c r="E50" s="289"/>
      <c r="F50" s="289"/>
      <c r="G50" s="289"/>
      <c r="H50" s="289"/>
      <c r="I50" s="289"/>
      <c r="J50" s="289"/>
      <c r="K50" s="290"/>
    </row>
    <row r="51" spans="1:11">
      <c r="A51" s="289"/>
      <c r="B51" s="295" t="s">
        <v>381</v>
      </c>
      <c r="C51" s="289"/>
      <c r="D51" s="289"/>
      <c r="E51" s="289"/>
      <c r="F51" s="310">
        <f>'FA 2020'!C67</f>
        <v>0</v>
      </c>
      <c r="G51" s="311" t="e">
        <f>($F51-$H51)/$H51</f>
        <v>#DIV/0!</v>
      </c>
      <c r="H51" s="310">
        <f>'FA 2020'!D67</f>
        <v>0</v>
      </c>
      <c r="I51" s="311" t="e">
        <f>($H51-$J51)/$J51</f>
        <v>#DIV/0!</v>
      </c>
      <c r="J51" s="310"/>
      <c r="K51" s="290"/>
    </row>
    <row r="52" spans="1:11">
      <c r="A52" s="289"/>
      <c r="B52" s="289"/>
      <c r="C52" s="289"/>
      <c r="D52" s="289"/>
      <c r="E52" s="289"/>
      <c r="F52" s="289"/>
      <c r="G52" s="289"/>
      <c r="H52" s="289"/>
      <c r="I52" s="289"/>
      <c r="J52" s="289"/>
      <c r="K52" s="290"/>
    </row>
    <row r="53" spans="1:11">
      <c r="A53" s="289"/>
      <c r="B53" s="295" t="s">
        <v>382</v>
      </c>
      <c r="C53" s="289"/>
      <c r="D53" s="289"/>
      <c r="E53" s="289"/>
      <c r="F53" s="310">
        <f>'FA 2020'!C64</f>
        <v>0</v>
      </c>
      <c r="G53" s="311" t="e">
        <f>($F53-$H53)/$H53</f>
        <v>#DIV/0!</v>
      </c>
      <c r="H53" s="310">
        <f>'FA 2020'!D64</f>
        <v>0</v>
      </c>
      <c r="I53" s="311" t="e">
        <f>($H53-$J53)/$J53</f>
        <v>#DIV/0!</v>
      </c>
      <c r="J53" s="310"/>
      <c r="K53" s="290"/>
    </row>
    <row r="54" spans="1:11">
      <c r="A54" s="289"/>
      <c r="B54" s="289"/>
      <c r="C54" s="289"/>
      <c r="D54" s="289"/>
      <c r="E54" s="289"/>
      <c r="F54" s="289"/>
      <c r="G54" s="289"/>
      <c r="H54" s="289"/>
      <c r="I54" s="289"/>
      <c r="J54" s="289"/>
      <c r="K54" s="290"/>
    </row>
    <row r="55" spans="1:11">
      <c r="A55" s="289"/>
      <c r="B55" s="295" t="s">
        <v>383</v>
      </c>
      <c r="C55" s="289"/>
      <c r="D55" s="289"/>
      <c r="E55" s="316" t="s">
        <v>384</v>
      </c>
      <c r="F55" s="317" t="e">
        <f>Score!C37</f>
        <v>#DIV/0!</v>
      </c>
      <c r="G55" s="316" t="s">
        <v>384</v>
      </c>
      <c r="H55" s="317" t="e">
        <f>Score!G37</f>
        <v>#DIV/0!</v>
      </c>
      <c r="I55" s="289"/>
      <c r="J55" s="289"/>
      <c r="K55" s="290"/>
    </row>
    <row r="56" spans="1:11">
      <c r="A56" s="289"/>
      <c r="B56" s="293"/>
      <c r="C56" s="289"/>
      <c r="D56" s="289"/>
      <c r="E56" s="289"/>
      <c r="F56" s="289"/>
      <c r="G56" s="289"/>
      <c r="H56" s="289"/>
      <c r="I56" s="289"/>
      <c r="J56" s="289"/>
      <c r="K56" s="290"/>
    </row>
    <row r="57" spans="1:11">
      <c r="A57" s="289"/>
      <c r="B57" s="295" t="s">
        <v>385</v>
      </c>
      <c r="C57" s="289"/>
      <c r="D57" s="289"/>
      <c r="E57" s="318" t="e">
        <f>IF(F55&gt;42,"very good (x &gt; 42)",IF(AND(F55&gt;34,F55&lt;43),"good (43 &gt; x &gt; 34)",IF(AND(F55&gt;25,F55&lt;35),"acceptable (35 &gt; x &gt;25)",IF(AND(F55&gt;17,F55&lt;26),"unacceptable should be declined! (26 &gt; x &gt;17)",IF(F55&lt;18,"unacceptable must be declined! (x &lt; 18)")))))</f>
        <v>#DIV/0!</v>
      </c>
      <c r="F57" s="319"/>
      <c r="G57" s="319"/>
      <c r="H57" s="319"/>
      <c r="I57" s="319"/>
      <c r="J57" s="319"/>
      <c r="K57" s="290"/>
    </row>
    <row r="58" spans="1:11">
      <c r="A58" s="289"/>
      <c r="B58" s="289"/>
      <c r="C58" s="289"/>
      <c r="D58" s="289"/>
      <c r="E58" s="289"/>
      <c r="F58" s="289"/>
      <c r="G58" s="289"/>
      <c r="H58" s="289"/>
      <c r="I58" s="289"/>
      <c r="J58" s="289"/>
      <c r="K58" s="320"/>
    </row>
    <row r="59" spans="1:11">
      <c r="A59" s="289"/>
      <c r="B59" s="321" t="s">
        <v>386</v>
      </c>
      <c r="C59" s="322"/>
      <c r="D59" s="322"/>
      <c r="E59" s="322"/>
      <c r="F59" s="322"/>
      <c r="G59" s="322"/>
      <c r="H59" s="322"/>
      <c r="I59" s="322"/>
      <c r="J59" s="323"/>
      <c r="K59" s="290"/>
    </row>
    <row r="60" spans="1:11">
      <c r="A60" s="290"/>
      <c r="B60" s="483"/>
      <c r="C60" s="483"/>
      <c r="D60" s="483"/>
      <c r="E60" s="483"/>
      <c r="F60" s="483"/>
      <c r="G60" s="483"/>
      <c r="H60" s="483"/>
      <c r="I60" s="483"/>
      <c r="J60" s="484"/>
      <c r="K60" s="290"/>
    </row>
    <row r="61" spans="1:11">
      <c r="A61" s="290"/>
      <c r="B61" s="290"/>
      <c r="C61" s="290"/>
      <c r="D61" s="290"/>
      <c r="E61" s="290"/>
      <c r="F61" s="290"/>
      <c r="G61" s="290"/>
      <c r="H61" s="290"/>
      <c r="I61" s="290"/>
      <c r="J61" s="290"/>
      <c r="K61" s="290"/>
    </row>
  </sheetData>
  <sheetProtection algorithmName="SHA-512" hashValue="HqPW6Du83v8+f80kuF+yyYdG23MdWL+JJMPXvJL8VJPA6lazn4nwchp44oG+vFvv9WQm4fX7WbJILjUwV60OzA==" saltValue="j8N2KNqiA2Ia7jj28eki2w==" spinCount="100000" sheet="1" objects="1" scenarios="1"/>
  <mergeCells count="5">
    <mergeCell ref="F5:H5"/>
    <mergeCell ref="F7:H7"/>
    <mergeCell ref="F9:H9"/>
    <mergeCell ref="B15:J15"/>
    <mergeCell ref="B60:J60"/>
  </mergeCells>
  <pageMargins left="0.70866141732283472" right="0.70866141732283472" top="0.74803149606299213" bottom="0.74803149606299213" header="0.31496062992125984" footer="0.31496062992125984"/>
  <pageSetup paperSize="9" scale="7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0584-5522-4A40-A868-5746AFE5866A}">
  <sheetPr codeName="Sheet7">
    <pageSetUpPr fitToPage="1"/>
  </sheetPr>
  <dimension ref="A1:M46"/>
  <sheetViews>
    <sheetView zoomScale="70" zoomScaleNormal="70" workbookViewId="0">
      <selection activeCell="C15" sqref="C15"/>
    </sheetView>
  </sheetViews>
  <sheetFormatPr defaultRowHeight="14.5"/>
  <cols>
    <col min="2" max="2" width="25" customWidth="1"/>
    <col min="3" max="3" width="11.453125" bestFit="1" customWidth="1"/>
    <col min="7" max="7" width="11.453125" bestFit="1" customWidth="1"/>
    <col min="11" max="11" width="9.81640625" bestFit="1" customWidth="1"/>
  </cols>
  <sheetData>
    <row r="1" spans="1:13">
      <c r="A1" s="289"/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</row>
    <row r="2" spans="1:13">
      <c r="A2" s="289"/>
      <c r="B2" s="295" t="s">
        <v>0</v>
      </c>
      <c r="C2" s="485">
        <f>Data!F5</f>
        <v>0</v>
      </c>
      <c r="D2" s="486"/>
      <c r="E2" s="486"/>
      <c r="F2" s="486"/>
      <c r="G2" s="486"/>
      <c r="H2" s="486"/>
      <c r="I2" s="486"/>
      <c r="J2" s="486"/>
      <c r="K2" s="486"/>
      <c r="L2" s="486"/>
      <c r="M2" s="486"/>
    </row>
    <row r="3" spans="1:13">
      <c r="A3" s="289"/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</row>
    <row r="4" spans="1:13">
      <c r="A4" s="324"/>
      <c r="B4" s="324"/>
      <c r="C4" s="325">
        <f>Data!F17</f>
        <v>2020</v>
      </c>
      <c r="D4" s="325"/>
      <c r="E4" s="325"/>
      <c r="F4" s="325"/>
      <c r="G4" s="325">
        <f>C4-1</f>
        <v>2019</v>
      </c>
      <c r="H4" s="325"/>
      <c r="I4" s="325"/>
      <c r="J4" s="325"/>
      <c r="K4" s="325">
        <f>G4-1</f>
        <v>2018</v>
      </c>
      <c r="L4" s="325"/>
      <c r="M4" s="325"/>
    </row>
    <row r="5" spans="1:13">
      <c r="A5" s="289"/>
      <c r="B5" s="295" t="s">
        <v>387</v>
      </c>
      <c r="C5" s="326" t="s">
        <v>388</v>
      </c>
      <c r="D5" s="327"/>
      <c r="E5" s="326" t="s">
        <v>389</v>
      </c>
      <c r="F5" s="327"/>
      <c r="G5" s="326" t="s">
        <v>388</v>
      </c>
      <c r="H5" s="327"/>
      <c r="I5" s="326" t="s">
        <v>389</v>
      </c>
      <c r="J5" s="327"/>
      <c r="K5" s="326" t="s">
        <v>388</v>
      </c>
      <c r="L5" s="327"/>
      <c r="M5" s="326" t="s">
        <v>389</v>
      </c>
    </row>
    <row r="6" spans="1:13">
      <c r="A6" s="289"/>
      <c r="B6" s="295"/>
      <c r="C6" s="327"/>
      <c r="D6" s="327"/>
      <c r="E6" s="327"/>
      <c r="F6" s="327"/>
      <c r="G6" s="327"/>
      <c r="H6" s="327"/>
      <c r="I6" s="327"/>
      <c r="J6" s="327"/>
      <c r="K6" s="327"/>
      <c r="L6" s="327"/>
      <c r="M6" s="327"/>
    </row>
    <row r="7" spans="1:13">
      <c r="A7" s="289">
        <v>1</v>
      </c>
      <c r="B7" s="295" t="s">
        <v>390</v>
      </c>
      <c r="C7" s="328" t="e">
        <f>Data!F21/Data!F35</f>
        <v>#DIV/0!</v>
      </c>
      <c r="D7" s="329"/>
      <c r="E7" s="330" t="e">
        <f>IF(C7&gt;1.1,2,0)</f>
        <v>#DIV/0!</v>
      </c>
      <c r="F7" s="331"/>
      <c r="G7" s="328" t="e">
        <f>Data!H21/Data!H35</f>
        <v>#DIV/0!</v>
      </c>
      <c r="H7" s="329"/>
      <c r="I7" s="330" t="e">
        <f>IF(G7&gt;1.1,2,0)</f>
        <v>#DIV/0!</v>
      </c>
      <c r="J7" s="331"/>
      <c r="K7" s="328" t="e">
        <f>Data!J21/Data!J35</f>
        <v>#DIV/0!</v>
      </c>
      <c r="L7" s="329"/>
      <c r="M7" s="330" t="e">
        <f>IF(K7&gt;1.1,2,0)</f>
        <v>#DIV/0!</v>
      </c>
    </row>
    <row r="8" spans="1:13">
      <c r="A8" s="289"/>
      <c r="B8" s="295"/>
      <c r="C8" s="329"/>
      <c r="D8" s="329"/>
      <c r="E8" s="331"/>
      <c r="F8" s="331"/>
      <c r="G8" s="329"/>
      <c r="H8" s="329"/>
      <c r="I8" s="331"/>
      <c r="J8" s="331"/>
      <c r="K8" s="329"/>
      <c r="L8" s="329"/>
      <c r="M8" s="331"/>
    </row>
    <row r="9" spans="1:13">
      <c r="A9" s="289">
        <v>2</v>
      </c>
      <c r="B9" s="295" t="s">
        <v>391</v>
      </c>
      <c r="C9" s="328" t="e">
        <f>(Data!F21-Data!F23)/Data!F35</f>
        <v>#DIV/0!</v>
      </c>
      <c r="D9" s="329"/>
      <c r="E9" s="330" t="e">
        <f>IF(C9&gt;0.8,3,0)</f>
        <v>#DIV/0!</v>
      </c>
      <c r="F9" s="331"/>
      <c r="G9" s="328" t="e">
        <f>(Data!H21-Data!H23)/Data!H35</f>
        <v>#DIV/0!</v>
      </c>
      <c r="H9" s="329"/>
      <c r="I9" s="330" t="e">
        <f>IF(G9&gt;0.8,3,0)</f>
        <v>#DIV/0!</v>
      </c>
      <c r="J9" s="331"/>
      <c r="K9" s="328" t="e">
        <f>(Data!J21-Data!J23)/Data!J35</f>
        <v>#DIV/0!</v>
      </c>
      <c r="L9" s="329"/>
      <c r="M9" s="330" t="e">
        <f>IF(K9&gt;0.8,3,0)</f>
        <v>#DIV/0!</v>
      </c>
    </row>
    <row r="10" spans="1:13">
      <c r="A10" s="289"/>
      <c r="B10" s="295"/>
      <c r="C10" s="329"/>
      <c r="D10" s="329"/>
      <c r="E10" s="331"/>
      <c r="F10" s="331"/>
      <c r="G10" s="329"/>
      <c r="H10" s="329"/>
      <c r="I10" s="331"/>
      <c r="J10" s="331"/>
      <c r="K10" s="329"/>
      <c r="L10" s="329"/>
      <c r="M10" s="331"/>
    </row>
    <row r="11" spans="1:13">
      <c r="A11" s="289">
        <v>3</v>
      </c>
      <c r="B11" s="295" t="s">
        <v>392</v>
      </c>
      <c r="C11" s="330" t="e">
        <f>Data!F37/Data!F23</f>
        <v>#DIV/0!</v>
      </c>
      <c r="D11" s="331"/>
      <c r="E11" s="330" t="e">
        <f>IF(C11&gt;4,2,0)</f>
        <v>#DIV/0!</v>
      </c>
      <c r="F11" s="331"/>
      <c r="G11" s="330" t="e">
        <f>Data!H37/Data!H23</f>
        <v>#DIV/0!</v>
      </c>
      <c r="H11" s="331"/>
      <c r="I11" s="330" t="e">
        <f>IF(G11&gt;4,2,0)</f>
        <v>#DIV/0!</v>
      </c>
      <c r="J11" s="331"/>
      <c r="K11" s="330" t="e">
        <f>Data!J37/Data!J23</f>
        <v>#DIV/0!</v>
      </c>
      <c r="L11" s="331"/>
      <c r="M11" s="330" t="e">
        <f>IF(K11&gt;4,2,0)</f>
        <v>#DIV/0!</v>
      </c>
    </row>
    <row r="12" spans="1:13">
      <c r="A12" s="289"/>
      <c r="B12" s="295"/>
      <c r="C12" s="331"/>
      <c r="D12" s="331"/>
      <c r="E12" s="331"/>
      <c r="F12" s="331"/>
      <c r="G12" s="331"/>
      <c r="H12" s="331"/>
      <c r="I12" s="331"/>
      <c r="J12" s="331"/>
      <c r="K12" s="331"/>
      <c r="L12" s="331"/>
      <c r="M12" s="331"/>
    </row>
    <row r="13" spans="1:13">
      <c r="A13" s="289">
        <v>4</v>
      </c>
      <c r="B13" s="295" t="s">
        <v>393</v>
      </c>
      <c r="C13" s="330" t="e">
        <f>Data!F25*365/Data!F37</f>
        <v>#DIV/0!</v>
      </c>
      <c r="D13" s="331"/>
      <c r="E13" s="330" t="e">
        <f>IF(C13&lt;50,1,0)</f>
        <v>#DIV/0!</v>
      </c>
      <c r="F13" s="331"/>
      <c r="G13" s="330" t="e">
        <f>Data!H25*365/Data!H37</f>
        <v>#DIV/0!</v>
      </c>
      <c r="H13" s="331"/>
      <c r="I13" s="330" t="e">
        <f>IF(G13&lt;50,1,0)</f>
        <v>#DIV/0!</v>
      </c>
      <c r="J13" s="331"/>
      <c r="K13" s="330" t="e">
        <f>Data!J25*365/Data!J37</f>
        <v>#DIV/0!</v>
      </c>
      <c r="L13" s="331"/>
      <c r="M13" s="330" t="e">
        <f>IF(K13&lt;50,1,0)</f>
        <v>#DIV/0!</v>
      </c>
    </row>
    <row r="14" spans="1:13">
      <c r="A14" s="289"/>
      <c r="B14" s="295"/>
      <c r="C14" s="331"/>
      <c r="D14" s="331"/>
      <c r="E14" s="331"/>
      <c r="F14" s="331"/>
      <c r="G14" s="331"/>
      <c r="H14" s="331"/>
      <c r="I14" s="331"/>
      <c r="J14" s="331"/>
      <c r="K14" s="331"/>
      <c r="L14" s="331"/>
      <c r="M14" s="331"/>
    </row>
    <row r="15" spans="1:13">
      <c r="A15" s="289">
        <v>5</v>
      </c>
      <c r="B15" s="295" t="s">
        <v>394</v>
      </c>
      <c r="C15" s="328" t="e">
        <f>Data!F31/Data!F29</f>
        <v>#DIV/0!</v>
      </c>
      <c r="D15" s="329"/>
      <c r="E15" s="330" t="e">
        <f>IF(C15&gt;0.25,6,IF(C15&gt;0.2,3,0))</f>
        <v>#DIV/0!</v>
      </c>
      <c r="F15" s="331"/>
      <c r="G15" s="328" t="e">
        <f>Data!H31/Data!H29</f>
        <v>#DIV/0!</v>
      </c>
      <c r="H15" s="329"/>
      <c r="I15" s="330" t="e">
        <f>IF(G15&gt;0.25,6,IF(G15&gt;0.2,3,0))</f>
        <v>#DIV/0!</v>
      </c>
      <c r="J15" s="331"/>
      <c r="K15" s="328" t="e">
        <f>Data!J31/Data!J29</f>
        <v>#DIV/0!</v>
      </c>
      <c r="L15" s="329"/>
      <c r="M15" s="330" t="e">
        <f>IF(K15&gt;0.25,6,IF(K15&gt;0.2,3,0))</f>
        <v>#DIV/0!</v>
      </c>
    </row>
    <row r="16" spans="1:13">
      <c r="A16" s="289"/>
      <c r="B16" s="295"/>
      <c r="C16" s="329"/>
      <c r="D16" s="329"/>
      <c r="E16" s="331"/>
      <c r="F16" s="331"/>
      <c r="G16" s="329"/>
      <c r="H16" s="329"/>
      <c r="I16" s="331"/>
      <c r="J16" s="331"/>
      <c r="K16" s="329"/>
      <c r="L16" s="329"/>
      <c r="M16" s="331"/>
    </row>
    <row r="17" spans="1:13">
      <c r="A17" s="289">
        <v>6</v>
      </c>
      <c r="B17" s="295" t="s">
        <v>395</v>
      </c>
      <c r="C17" s="328" t="e">
        <f>Data!F31/Data!F19</f>
        <v>#DIV/0!</v>
      </c>
      <c r="D17" s="329"/>
      <c r="E17" s="330" t="e">
        <f>IF(C17&gt;0.5,3,0)</f>
        <v>#DIV/0!</v>
      </c>
      <c r="F17" s="331"/>
      <c r="G17" s="328" t="e">
        <f>Data!H31/Data!H19</f>
        <v>#DIV/0!</v>
      </c>
      <c r="H17" s="329"/>
      <c r="I17" s="330" t="e">
        <f>IF(G17&gt;0.5,3,0)</f>
        <v>#DIV/0!</v>
      </c>
      <c r="J17" s="331"/>
      <c r="K17" s="328" t="e">
        <f>Data!J31/Data!J19</f>
        <v>#DIV/0!</v>
      </c>
      <c r="L17" s="329"/>
      <c r="M17" s="330" t="e">
        <f>IF(K17&gt;0.5,3,0)</f>
        <v>#DIV/0!</v>
      </c>
    </row>
    <row r="18" spans="1:13">
      <c r="A18" s="289"/>
      <c r="B18" s="295"/>
      <c r="C18" s="329"/>
      <c r="D18" s="329"/>
      <c r="E18" s="331"/>
      <c r="F18" s="331"/>
      <c r="G18" s="329"/>
      <c r="H18" s="329"/>
      <c r="I18" s="331"/>
      <c r="J18" s="331"/>
      <c r="K18" s="329"/>
      <c r="L18" s="329"/>
      <c r="M18" s="331"/>
    </row>
    <row r="19" spans="1:13">
      <c r="A19" s="289">
        <v>7</v>
      </c>
      <c r="B19" s="332" t="s">
        <v>396</v>
      </c>
      <c r="C19" s="328" t="e">
        <f>(Data!F33-Data!F27)/Data!F19</f>
        <v>#DIV/0!</v>
      </c>
      <c r="D19" s="329"/>
      <c r="E19" s="330" t="e">
        <f>IF(C19&lt;0.7,3,0)</f>
        <v>#DIV/0!</v>
      </c>
      <c r="F19" s="331"/>
      <c r="G19" s="328" t="e">
        <f>(Data!H33-Data!H27)/Data!H19</f>
        <v>#DIV/0!</v>
      </c>
      <c r="H19" s="329"/>
      <c r="I19" s="330" t="e">
        <f>IF(G19&lt;0.7,3,0)</f>
        <v>#DIV/0!</v>
      </c>
      <c r="J19" s="331"/>
      <c r="K19" s="328" t="e">
        <f>(Data!J33-Data!J27)/Data!J19</f>
        <v>#DIV/0!</v>
      </c>
      <c r="L19" s="329"/>
      <c r="M19" s="330" t="e">
        <f>IF(K19&lt;0.7,3,0)</f>
        <v>#DIV/0!</v>
      </c>
    </row>
    <row r="20" spans="1:13">
      <c r="A20" s="289"/>
      <c r="B20" s="332"/>
      <c r="C20" s="329"/>
      <c r="D20" s="329"/>
      <c r="E20" s="331"/>
      <c r="F20" s="331"/>
      <c r="G20" s="329"/>
      <c r="H20" s="329"/>
      <c r="I20" s="331"/>
      <c r="J20" s="331"/>
      <c r="K20" s="329"/>
      <c r="L20" s="329"/>
      <c r="M20" s="331"/>
    </row>
    <row r="21" spans="1:13">
      <c r="A21" s="289">
        <v>8</v>
      </c>
      <c r="B21" s="295" t="s">
        <v>397</v>
      </c>
      <c r="C21" s="333">
        <f>Data!F41</f>
        <v>0</v>
      </c>
      <c r="D21" s="334"/>
      <c r="E21" s="333">
        <f>IF(C21&gt;0,3,0)</f>
        <v>0</v>
      </c>
      <c r="F21" s="334"/>
      <c r="G21" s="333">
        <f>Data!H41</f>
        <v>0</v>
      </c>
      <c r="H21" s="334"/>
      <c r="I21" s="333">
        <f>IF(G21&gt;0,3,0)</f>
        <v>0</v>
      </c>
      <c r="J21" s="334"/>
      <c r="K21" s="333">
        <f>Data!J41</f>
        <v>0</v>
      </c>
      <c r="L21" s="334"/>
      <c r="M21" s="333">
        <f>IF(K21&gt;0,3,0)</f>
        <v>0</v>
      </c>
    </row>
    <row r="22" spans="1:13">
      <c r="A22" s="289"/>
      <c r="B22" s="295"/>
      <c r="C22" s="334"/>
      <c r="D22" s="334"/>
      <c r="E22" s="334"/>
      <c r="F22" s="334"/>
      <c r="G22" s="334"/>
      <c r="H22" s="334"/>
      <c r="I22" s="334"/>
      <c r="J22" s="334"/>
      <c r="K22" s="334"/>
      <c r="L22" s="334"/>
      <c r="M22" s="334"/>
    </row>
    <row r="23" spans="1:13">
      <c r="A23" s="289">
        <v>9</v>
      </c>
      <c r="B23" s="295" t="s">
        <v>398</v>
      </c>
      <c r="C23" s="328" t="str">
        <f>IF(AND(Data!F39&gt;0,Data!F47&gt;0),"positiv","negativ")</f>
        <v>negativ</v>
      </c>
      <c r="D23" s="329"/>
      <c r="E23" s="330">
        <f>IF(AND(Data!F39&gt;0,Data!F47&gt;0),12,0)</f>
        <v>0</v>
      </c>
      <c r="F23" s="331"/>
      <c r="G23" s="328" t="str">
        <f>IF(AND(Data!H39&gt;0,Data!H47&gt;0),"positiv","negativ")</f>
        <v>negativ</v>
      </c>
      <c r="H23" s="329"/>
      <c r="I23" s="330">
        <f>IF(AND(Data!H39&gt;0,Data!H47&gt;0),12,0)</f>
        <v>0</v>
      </c>
      <c r="J23" s="331"/>
      <c r="K23" s="328" t="str">
        <f>IF(AND(Data!J39&gt;0,Data!J47&gt;0),"positiv","negativ")</f>
        <v>negativ</v>
      </c>
      <c r="L23" s="329"/>
      <c r="M23" s="330">
        <f>IF(AND(Data!J39&gt;0,Data!J47&gt;0),12,0)</f>
        <v>0</v>
      </c>
    </row>
    <row r="24" spans="1:13">
      <c r="A24" s="289"/>
      <c r="B24" s="295"/>
      <c r="C24" s="329"/>
      <c r="D24" s="329"/>
      <c r="E24" s="331"/>
      <c r="F24" s="331"/>
      <c r="G24" s="329"/>
      <c r="H24" s="329"/>
      <c r="I24" s="331"/>
      <c r="J24" s="331"/>
      <c r="K24" s="329"/>
      <c r="L24" s="329"/>
      <c r="M24" s="331"/>
    </row>
    <row r="25" spans="1:13">
      <c r="A25" s="289">
        <v>10</v>
      </c>
      <c r="B25" s="332" t="s">
        <v>331</v>
      </c>
      <c r="C25" s="328" t="e">
        <f>Data!F47/Data!F31</f>
        <v>#DIV/0!</v>
      </c>
      <c r="D25" s="329"/>
      <c r="E25" s="330" t="e">
        <f>IF(C25&gt;0.1,2,0)</f>
        <v>#DIV/0!</v>
      </c>
      <c r="F25" s="331"/>
      <c r="G25" s="328" t="e">
        <f>Data!H47/Data!H31</f>
        <v>#DIV/0!</v>
      </c>
      <c r="H25" s="329"/>
      <c r="I25" s="330" t="e">
        <f>IF(G25&gt;0.1,2,0)</f>
        <v>#DIV/0!</v>
      </c>
      <c r="J25" s="331"/>
      <c r="K25" s="328" t="e">
        <f>Data!J47/Data!J31</f>
        <v>#DIV/0!</v>
      </c>
      <c r="L25" s="329"/>
      <c r="M25" s="330" t="e">
        <f>IF(K25&gt;0.1,2,0)</f>
        <v>#DIV/0!</v>
      </c>
    </row>
    <row r="26" spans="1:13">
      <c r="A26" s="289"/>
      <c r="B26" s="332"/>
      <c r="C26" s="329"/>
      <c r="D26" s="329"/>
      <c r="E26" s="331"/>
      <c r="F26" s="331"/>
      <c r="G26" s="329"/>
      <c r="H26" s="329"/>
      <c r="I26" s="331"/>
      <c r="J26" s="331"/>
      <c r="K26" s="329"/>
      <c r="L26" s="329"/>
      <c r="M26" s="331"/>
    </row>
    <row r="27" spans="1:13">
      <c r="A27" s="289">
        <v>11</v>
      </c>
      <c r="B27" s="295" t="s">
        <v>399</v>
      </c>
      <c r="C27" s="328" t="e">
        <f>Data!F37/Data!F29</f>
        <v>#DIV/0!</v>
      </c>
      <c r="D27" s="329"/>
      <c r="E27" s="330" t="e">
        <f>IF(AND(Data!F37/Data!F29&gt;1,Data!F37/Data!F29&lt;2.5),2,0)</f>
        <v>#DIV/0!</v>
      </c>
      <c r="F27" s="331"/>
      <c r="G27" s="328" t="e">
        <f>Data!H37/Data!H29</f>
        <v>#DIV/0!</v>
      </c>
      <c r="H27" s="329"/>
      <c r="I27" s="330" t="e">
        <f>IF(AND(Data!H37/Data!H29&gt;1,Data!H37/Data!H29&lt;2.5),2,0)</f>
        <v>#DIV/0!</v>
      </c>
      <c r="J27" s="331"/>
      <c r="K27" s="328" t="e">
        <f>Data!J37/Data!J29</f>
        <v>#DIV/0!</v>
      </c>
      <c r="L27" s="329"/>
      <c r="M27" s="330" t="e">
        <f>IF(AND(Data!J37/Data!J29&gt;1,Data!J37/Data!J29&lt;2.5),2,0)</f>
        <v>#DIV/0!</v>
      </c>
    </row>
    <row r="28" spans="1:13">
      <c r="A28" s="289"/>
      <c r="B28" s="295"/>
      <c r="C28" s="329"/>
      <c r="D28" s="329"/>
      <c r="E28" s="331"/>
      <c r="F28" s="331"/>
      <c r="G28" s="329"/>
      <c r="H28" s="329"/>
      <c r="I28" s="331"/>
      <c r="J28" s="331"/>
      <c r="K28" s="329"/>
      <c r="L28" s="329"/>
      <c r="M28" s="331"/>
    </row>
    <row r="29" spans="1:13">
      <c r="A29" s="289">
        <v>12</v>
      </c>
      <c r="B29" s="295" t="s">
        <v>400</v>
      </c>
      <c r="C29" s="328" t="e">
        <f>Data!F43/Data!F37</f>
        <v>#DIV/0!</v>
      </c>
      <c r="D29" s="329"/>
      <c r="E29" s="330" t="e">
        <f>IF(C29&gt;0.05,3,0)</f>
        <v>#DIV/0!</v>
      </c>
      <c r="F29" s="331"/>
      <c r="G29" s="335" t="e">
        <f>Data!H43/Data!H37</f>
        <v>#DIV/0!</v>
      </c>
      <c r="H29" s="329"/>
      <c r="I29" s="330" t="e">
        <f>IF(G29&gt;0.05,3,0)</f>
        <v>#DIV/0!</v>
      </c>
      <c r="J29" s="331"/>
      <c r="K29" s="328" t="e">
        <f>Data!J43/Data!J37</f>
        <v>#DIV/0!</v>
      </c>
      <c r="L29" s="329"/>
      <c r="M29" s="330" t="e">
        <f>IF(K29&gt;0.05,3,0)</f>
        <v>#DIV/0!</v>
      </c>
    </row>
    <row r="30" spans="1:13">
      <c r="A30" s="289"/>
      <c r="B30" s="295"/>
      <c r="C30" s="329"/>
      <c r="D30" s="329"/>
      <c r="E30" s="331"/>
      <c r="F30" s="331"/>
      <c r="G30" s="329"/>
      <c r="H30" s="329"/>
      <c r="I30" s="331"/>
      <c r="J30" s="331"/>
      <c r="K30" s="329"/>
      <c r="L30" s="329"/>
      <c r="M30" s="331"/>
    </row>
    <row r="31" spans="1:13">
      <c r="A31" s="289">
        <v>13</v>
      </c>
      <c r="B31" s="295" t="s">
        <v>401</v>
      </c>
      <c r="C31" s="333">
        <f>Data!F43-Data!H43</f>
        <v>0</v>
      </c>
      <c r="D31" s="334"/>
      <c r="E31" s="333">
        <f>IF(C31&gt;0,2,0)</f>
        <v>0</v>
      </c>
      <c r="F31" s="334"/>
      <c r="G31" s="333">
        <f>Data!H43-Data!J43</f>
        <v>0</v>
      </c>
      <c r="H31" s="334"/>
      <c r="I31" s="333">
        <f>IF(G31&gt;0,2,0)</f>
        <v>0</v>
      </c>
      <c r="J31" s="334"/>
      <c r="K31" s="333">
        <f>Data!J43-Data!M43</f>
        <v>0</v>
      </c>
      <c r="L31" s="334"/>
      <c r="M31" s="333">
        <f>IF(K31&gt;0,2,0)</f>
        <v>0</v>
      </c>
    </row>
    <row r="32" spans="1:13">
      <c r="A32" s="289"/>
      <c r="B32" s="295"/>
      <c r="C32" s="334"/>
      <c r="D32" s="334"/>
      <c r="E32" s="334"/>
      <c r="F32" s="334"/>
      <c r="G32" s="334"/>
      <c r="H32" s="334"/>
      <c r="I32" s="334"/>
      <c r="J32" s="334"/>
      <c r="K32" s="334"/>
      <c r="L32" s="334"/>
      <c r="M32" s="334"/>
    </row>
    <row r="33" spans="1:13">
      <c r="A33" s="289">
        <v>14</v>
      </c>
      <c r="B33" s="295" t="s">
        <v>402</v>
      </c>
      <c r="C33" s="333">
        <f>Data!F37-Data!H37</f>
        <v>0</v>
      </c>
      <c r="D33" s="334"/>
      <c r="E33" s="333" t="e">
        <f>IF(AND(C33&gt;0,Data!F37/Data!H37&lt;1.3),5,0)</f>
        <v>#DIV/0!</v>
      </c>
      <c r="F33" s="334"/>
      <c r="G33" s="333">
        <f>Data!H37-Data!J37</f>
        <v>0</v>
      </c>
      <c r="H33" s="334"/>
      <c r="I33" s="333" t="e">
        <f>IF(AND(G33&gt;0,Data!H37/Data!J37&lt;1.3),5,0)</f>
        <v>#DIV/0!</v>
      </c>
      <c r="J33" s="334"/>
      <c r="K33" s="333">
        <f>Data!J37-Data!M37</f>
        <v>0</v>
      </c>
      <c r="L33" s="334"/>
      <c r="M33" s="333" t="e">
        <f>IF(AND(K33&gt;0,Data!J37/Data!J37&lt;1.3),5,0)</f>
        <v>#DIV/0!</v>
      </c>
    </row>
    <row r="34" spans="1:13">
      <c r="A34" s="289"/>
      <c r="B34" s="295"/>
      <c r="C34" s="334"/>
      <c r="D34" s="334"/>
      <c r="E34" s="334"/>
      <c r="F34" s="334"/>
      <c r="G34" s="334"/>
      <c r="H34" s="334"/>
      <c r="I34" s="334"/>
      <c r="J34" s="334"/>
      <c r="K34" s="334"/>
      <c r="L34" s="334"/>
      <c r="M34" s="334"/>
    </row>
    <row r="35" spans="1:13">
      <c r="A35" s="289">
        <v>15</v>
      </c>
      <c r="B35" s="295" t="s">
        <v>403</v>
      </c>
      <c r="C35" s="333">
        <f>Data!F47-Data!H47</f>
        <v>0</v>
      </c>
      <c r="D35" s="334"/>
      <c r="E35" s="333">
        <f>IF(C35&gt;0,1,0)</f>
        <v>0</v>
      </c>
      <c r="F35" s="334"/>
      <c r="G35" s="333">
        <f>Data!H47-Data!J47</f>
        <v>0</v>
      </c>
      <c r="H35" s="334"/>
      <c r="I35" s="333">
        <f>IF(G35&gt;0,1,0)</f>
        <v>0</v>
      </c>
      <c r="J35" s="334"/>
      <c r="K35" s="333">
        <f>Data!J47-Data!M47</f>
        <v>0</v>
      </c>
      <c r="L35" s="334"/>
      <c r="M35" s="333">
        <f>IF(K35&gt;0,1,0)</f>
        <v>0</v>
      </c>
    </row>
    <row r="36" spans="1:13">
      <c r="A36" s="289"/>
      <c r="B36" s="295"/>
      <c r="C36" s="334"/>
      <c r="D36" s="334"/>
      <c r="E36" s="334"/>
      <c r="F36" s="334"/>
      <c r="G36" s="334"/>
      <c r="H36" s="334"/>
      <c r="I36" s="334"/>
      <c r="J36" s="334"/>
      <c r="K36" s="334"/>
      <c r="L36" s="334"/>
      <c r="M36" s="334"/>
    </row>
    <row r="37" spans="1:13">
      <c r="A37" s="289"/>
      <c r="B37" s="295" t="s">
        <v>404</v>
      </c>
      <c r="C37" s="336" t="e">
        <f>SUM(E7:E35)</f>
        <v>#DIV/0!</v>
      </c>
      <c r="D37" s="336"/>
      <c r="E37" s="337" t="s">
        <v>405</v>
      </c>
      <c r="F37" s="289"/>
      <c r="G37" s="336" t="e">
        <f>SUM(I7:I35)</f>
        <v>#DIV/0!</v>
      </c>
      <c r="H37" s="336"/>
      <c r="I37" s="337" t="s">
        <v>405</v>
      </c>
      <c r="J37" s="289"/>
      <c r="K37" s="336" t="e">
        <f>SUM(M7:M35)</f>
        <v>#DIV/0!</v>
      </c>
      <c r="L37" s="338"/>
      <c r="M37" s="337" t="s">
        <v>405</v>
      </c>
    </row>
    <row r="38" spans="1:13">
      <c r="A38" s="289"/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</row>
    <row r="39" spans="1:13">
      <c r="A39" s="289"/>
      <c r="B39" s="289"/>
      <c r="C39" s="339"/>
      <c r="D39" s="339"/>
      <c r="E39" s="289"/>
      <c r="F39" s="289"/>
      <c r="G39" s="289"/>
      <c r="H39" s="289"/>
      <c r="I39" s="289"/>
      <c r="J39" s="289"/>
      <c r="K39" s="289"/>
      <c r="L39" s="289"/>
      <c r="M39" s="289"/>
    </row>
    <row r="40" spans="1:13">
      <c r="A40" s="289"/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</row>
    <row r="41" spans="1:13">
      <c r="A41" s="289"/>
      <c r="B41" s="301" t="s">
        <v>406</v>
      </c>
      <c r="C41" s="487"/>
      <c r="D41" s="488"/>
      <c r="E41" s="488"/>
      <c r="F41" s="488"/>
      <c r="G41" s="488"/>
      <c r="H41" s="488"/>
      <c r="I41" s="488"/>
      <c r="J41" s="488"/>
      <c r="K41" s="488"/>
      <c r="L41" s="488"/>
      <c r="M41" s="489"/>
    </row>
    <row r="42" spans="1:13">
      <c r="A42" s="289"/>
      <c r="B42" s="289"/>
      <c r="C42" s="490"/>
      <c r="D42" s="491"/>
      <c r="E42" s="491"/>
      <c r="F42" s="491"/>
      <c r="G42" s="491"/>
      <c r="H42" s="491"/>
      <c r="I42" s="491"/>
      <c r="J42" s="491"/>
      <c r="K42" s="491"/>
      <c r="L42" s="491"/>
      <c r="M42" s="492"/>
    </row>
    <row r="43" spans="1:13">
      <c r="A43" s="289"/>
      <c r="B43" s="289"/>
      <c r="C43" s="490"/>
      <c r="D43" s="491"/>
      <c r="E43" s="491"/>
      <c r="F43" s="491"/>
      <c r="G43" s="491"/>
      <c r="H43" s="491"/>
      <c r="I43" s="491"/>
      <c r="J43" s="491"/>
      <c r="K43" s="491"/>
      <c r="L43" s="491"/>
      <c r="M43" s="492"/>
    </row>
    <row r="44" spans="1:13">
      <c r="A44" s="289"/>
      <c r="B44" s="289"/>
      <c r="C44" s="490"/>
      <c r="D44" s="491"/>
      <c r="E44" s="491"/>
      <c r="F44" s="491"/>
      <c r="G44" s="491"/>
      <c r="H44" s="491"/>
      <c r="I44" s="491"/>
      <c r="J44" s="491"/>
      <c r="K44" s="491"/>
      <c r="L44" s="491"/>
      <c r="M44" s="492"/>
    </row>
    <row r="45" spans="1:13">
      <c r="A45" s="289"/>
      <c r="B45" s="289"/>
      <c r="C45" s="493"/>
      <c r="D45" s="494"/>
      <c r="E45" s="494"/>
      <c r="F45" s="494"/>
      <c r="G45" s="494"/>
      <c r="H45" s="494"/>
      <c r="I45" s="494"/>
      <c r="J45" s="494"/>
      <c r="K45" s="494"/>
      <c r="L45" s="494"/>
      <c r="M45" s="495"/>
    </row>
    <row r="46" spans="1:13">
      <c r="A46" s="289"/>
      <c r="B46" s="289"/>
      <c r="C46" s="289"/>
      <c r="D46" s="289"/>
      <c r="E46" s="289"/>
      <c r="F46" s="289"/>
      <c r="G46" s="289"/>
      <c r="H46" s="289"/>
      <c r="I46" s="289"/>
      <c r="J46" s="289"/>
      <c r="K46" s="289"/>
      <c r="L46" s="289"/>
      <c r="M46" s="289"/>
    </row>
  </sheetData>
  <sheetProtection algorithmName="SHA-512" hashValue="r3v0XQiopoWudoeC8KUm6ezPXwpGbymZsq8eWlm4T3q65zyRnAQOjllkXoS8QEaTPYdJjqJE74a9TGOCZYlLAQ==" saltValue="J8x31jZyC7hcHxlyfxcUCA==" spinCount="100000" sheet="1" objects="1" scenarios="1"/>
  <mergeCells count="2">
    <mergeCell ref="C2:M2"/>
    <mergeCell ref="C41:M45"/>
  </mergeCells>
  <pageMargins left="0.70866141732283472" right="0.70866141732283472" top="0.74803149606299213" bottom="0.74803149606299213" header="0.31496062992125984" footer="0.31496062992125984"/>
  <pageSetup paperSize="9" scale="62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1CBA2-EB35-4394-97C9-DC9C8A0B4E2D}">
  <sheetPr codeName="Sheet8"/>
  <dimension ref="A1:J31"/>
  <sheetViews>
    <sheetView zoomScale="80" zoomScaleNormal="80" workbookViewId="0">
      <selection activeCell="H8" sqref="H8"/>
    </sheetView>
  </sheetViews>
  <sheetFormatPr defaultColWidth="8.7265625" defaultRowHeight="14.5"/>
  <cols>
    <col min="1" max="1" width="41.453125" style="343" customWidth="1"/>
    <col min="2" max="6" width="8.7265625" style="343"/>
    <col min="7" max="7" width="27" style="343" bestFit="1" customWidth="1"/>
    <col min="8" max="16384" width="8.7265625" style="343"/>
  </cols>
  <sheetData>
    <row r="1" spans="1:10" ht="18">
      <c r="A1" s="340"/>
      <c r="B1" s="341"/>
      <c r="C1" s="342"/>
      <c r="D1" s="342"/>
      <c r="E1" s="342"/>
    </row>
    <row r="2" spans="1:10" ht="18">
      <c r="A2" s="340"/>
      <c r="B2" s="344"/>
      <c r="C2" s="342"/>
      <c r="D2" s="342"/>
      <c r="E2" s="342"/>
    </row>
    <row r="3" spans="1:10" ht="18">
      <c r="A3" s="340"/>
      <c r="B3" s="344"/>
      <c r="C3" s="342"/>
      <c r="D3" s="342"/>
      <c r="E3" s="342"/>
    </row>
    <row r="4" spans="1:10" ht="18">
      <c r="A4" s="340"/>
      <c r="B4" s="342"/>
      <c r="C4" s="342"/>
      <c r="D4" s="342"/>
      <c r="E4" s="342"/>
    </row>
    <row r="5" spans="1:10" ht="18">
      <c r="A5" s="340"/>
      <c r="B5" s="342"/>
      <c r="C5" s="342"/>
      <c r="D5" s="342"/>
      <c r="E5" s="342"/>
    </row>
    <row r="6" spans="1:10">
      <c r="A6" s="342"/>
      <c r="B6" s="342"/>
      <c r="C6" s="342"/>
      <c r="D6" s="342"/>
      <c r="E6" s="342"/>
    </row>
    <row r="7" spans="1:10" ht="18">
      <c r="A7" s="340" t="s">
        <v>407</v>
      </c>
      <c r="B7" s="342"/>
      <c r="C7" s="342"/>
      <c r="D7" s="342"/>
      <c r="E7" s="342"/>
    </row>
    <row r="8" spans="1:10">
      <c r="A8" s="342"/>
      <c r="B8" s="342"/>
      <c r="C8" s="342"/>
      <c r="D8" s="342"/>
      <c r="E8" s="342"/>
      <c r="H8" s="345">
        <f>Data!F17</f>
        <v>2020</v>
      </c>
      <c r="I8" s="345"/>
      <c r="J8" s="345">
        <f>Data!H17</f>
        <v>2019</v>
      </c>
    </row>
    <row r="9" spans="1:10" ht="18">
      <c r="A9" s="346" t="e">
        <f>IF(Score!C37&gt;42,"Quality: very good!","  ")</f>
        <v>#DIV/0!</v>
      </c>
      <c r="B9" s="342"/>
      <c r="C9" s="342"/>
      <c r="D9" s="342"/>
      <c r="E9" s="342"/>
      <c r="G9" s="347" t="s">
        <v>408</v>
      </c>
      <c r="H9" s="348" t="e">
        <f>(((Data!F21-Data!F35)/Data!F29)*1.2)+((Data!F51/Data!F29)*1.4)+((Data!F39/Data!F29)*3.3)+((Data!F53/(Data!F29-Data!F31))*0.6)</f>
        <v>#DIV/0!</v>
      </c>
      <c r="I9" s="348"/>
      <c r="J9" s="348" t="e">
        <f>(((Data!H21-Data!H35)/Data!H29)*1.2)+((Data!H51/Data!H29)*1.4)+((Data!H39/Data!H29)*3.3)+((Data!H53/(Data!H29-Data!H31))*0.6)</f>
        <v>#DIV/0!</v>
      </c>
    </row>
    <row r="10" spans="1:10" ht="18">
      <c r="A10" s="349" t="e">
        <f>IF(AND(Score!C37&gt;34,Score!C37&lt;43),"Quality: good!","  ")</f>
        <v>#DIV/0!</v>
      </c>
      <c r="B10" s="342"/>
      <c r="C10" s="342"/>
      <c r="D10" s="342"/>
      <c r="E10" s="342"/>
      <c r="G10" s="350" t="s">
        <v>409</v>
      </c>
    </row>
    <row r="11" spans="1:10" ht="18">
      <c r="A11" s="349" t="e">
        <f>IF(AND(Score!C37&gt;25,Score!C37&lt;35),"Quality: acceptable","  ")</f>
        <v>#DIV/0!</v>
      </c>
      <c r="B11" s="342"/>
      <c r="C11" s="342"/>
      <c r="D11" s="342"/>
      <c r="E11" s="342"/>
      <c r="G11" s="351" t="s">
        <v>410</v>
      </c>
    </row>
    <row r="12" spans="1:10" ht="18">
      <c r="A12" s="349" t="e">
        <f>IF(AND(Score!C37&gt;17,Score!C37&lt;26),"Quality:  unacceptable should be declined!","  ")</f>
        <v>#DIV/0!</v>
      </c>
      <c r="B12" s="342"/>
      <c r="C12" s="342"/>
      <c r="D12" s="342"/>
      <c r="E12" s="342"/>
      <c r="G12" s="350" t="s">
        <v>411</v>
      </c>
    </row>
    <row r="13" spans="1:10" ht="18">
      <c r="A13" s="352" t="e">
        <f>IF(Score!C37&lt;18,"Quality unaccetable must be declined!!! ","  ")</f>
        <v>#DIV/0!</v>
      </c>
      <c r="B13" s="342"/>
      <c r="C13" s="342"/>
      <c r="D13" s="342"/>
      <c r="E13" s="342"/>
    </row>
    <row r="14" spans="1:10">
      <c r="A14" s="353" t="e">
        <f>IF(H9&lt;1.8,"Must add INSOLVENCY EXCLUSION !","  ")</f>
        <v>#DIV/0!</v>
      </c>
      <c r="B14" s="342"/>
      <c r="C14" s="342"/>
      <c r="D14" s="342"/>
      <c r="E14" s="342"/>
    </row>
    <row r="15" spans="1:10">
      <c r="A15" s="342"/>
      <c r="B15" s="342"/>
      <c r="C15" s="342"/>
      <c r="D15" s="342"/>
      <c r="E15" s="342"/>
    </row>
    <row r="16" spans="1:10" ht="15.5">
      <c r="A16" s="354" t="s">
        <v>386</v>
      </c>
      <c r="B16" s="355"/>
      <c r="C16" s="342"/>
      <c r="D16" s="342"/>
      <c r="E16" s="342"/>
    </row>
    <row r="17" spans="1:5" ht="15.5">
      <c r="A17" s="356"/>
      <c r="B17" s="357"/>
      <c r="C17" s="358"/>
      <c r="D17" s="358"/>
      <c r="E17" s="359"/>
    </row>
    <row r="18" spans="1:5" ht="15.5">
      <c r="A18" s="360"/>
      <c r="B18" s="361"/>
      <c r="C18" s="361"/>
      <c r="D18" s="361"/>
      <c r="E18" s="362"/>
    </row>
    <row r="19" spans="1:5">
      <c r="A19" s="363"/>
      <c r="B19" s="342"/>
      <c r="C19" s="342"/>
      <c r="D19" s="342"/>
      <c r="E19" s="364"/>
    </row>
    <row r="20" spans="1:5" ht="15.5">
      <c r="A20" s="365"/>
      <c r="B20" s="361"/>
      <c r="C20" s="361"/>
      <c r="D20" s="361"/>
      <c r="E20" s="362"/>
    </row>
    <row r="21" spans="1:5">
      <c r="A21" s="363"/>
      <c r="B21" s="342"/>
      <c r="C21" s="342"/>
      <c r="D21" s="342"/>
      <c r="E21" s="364"/>
    </row>
    <row r="22" spans="1:5" ht="15.5">
      <c r="A22" s="365"/>
      <c r="B22" s="361"/>
      <c r="C22" s="361"/>
      <c r="D22" s="361"/>
      <c r="E22" s="362"/>
    </row>
    <row r="23" spans="1:5">
      <c r="A23" s="363"/>
      <c r="B23" s="342"/>
      <c r="C23" s="342"/>
      <c r="D23" s="342"/>
      <c r="E23" s="364"/>
    </row>
    <row r="24" spans="1:5" ht="15.5">
      <c r="A24" s="365"/>
      <c r="B24" s="361"/>
      <c r="C24" s="361"/>
      <c r="D24" s="361"/>
      <c r="E24" s="362"/>
    </row>
    <row r="25" spans="1:5">
      <c r="A25" s="363"/>
      <c r="B25" s="342"/>
      <c r="C25" s="342"/>
      <c r="D25" s="342"/>
      <c r="E25" s="364"/>
    </row>
    <row r="26" spans="1:5" ht="15.5">
      <c r="A26" s="365"/>
      <c r="B26" s="361"/>
      <c r="C26" s="361"/>
      <c r="D26" s="361"/>
      <c r="E26" s="362"/>
    </row>
    <row r="27" spans="1:5">
      <c r="A27" s="363"/>
      <c r="B27" s="342"/>
      <c r="C27" s="342"/>
      <c r="D27" s="342"/>
      <c r="E27" s="364"/>
    </row>
    <row r="28" spans="1:5" ht="15.5">
      <c r="A28" s="365"/>
      <c r="B28" s="361"/>
      <c r="C28" s="361"/>
      <c r="D28" s="361"/>
      <c r="E28" s="362"/>
    </row>
    <row r="29" spans="1:5">
      <c r="A29" s="366"/>
      <c r="B29" s="367"/>
      <c r="C29" s="367"/>
      <c r="D29" s="367"/>
      <c r="E29" s="368"/>
    </row>
    <row r="30" spans="1:5" ht="15.5">
      <c r="A30" s="361"/>
      <c r="B30" s="361"/>
      <c r="C30" s="361"/>
      <c r="D30" s="361"/>
      <c r="E30" s="361"/>
    </row>
    <row r="31" spans="1:5">
      <c r="A31" s="369"/>
      <c r="B31" s="369"/>
      <c r="C31" s="369"/>
      <c r="D31" s="369"/>
      <c r="E31" s="369"/>
    </row>
  </sheetData>
  <sheetProtection algorithmName="SHA-512" hashValue="YpkT+5/A3fIadhMQsf9Zag6SNhUXa5ywz7DvzrRAZAdXbB+ZDOUoK50FUs1SGFq2QieBZuTLOtagwibr/5iK7Q==" saltValue="0JGkqyN4YOoioCn95cD7gg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1354C-F3E0-48EC-8D7D-8BBE1EB18346}">
  <sheetPr codeName="Sheet9">
    <pageSetUpPr fitToPage="1"/>
  </sheetPr>
  <dimension ref="A1:M140"/>
  <sheetViews>
    <sheetView tabSelected="1" topLeftCell="B1" zoomScale="84" zoomScaleNormal="84" workbookViewId="0">
      <selection activeCell="C96" sqref="C96:D96"/>
    </sheetView>
  </sheetViews>
  <sheetFormatPr defaultColWidth="9.1796875" defaultRowHeight="12.5"/>
  <cols>
    <col min="1" max="1" width="2.54296875" style="160" hidden="1" customWidth="1"/>
    <col min="2" max="2" width="46.453125" style="160" customWidth="1"/>
    <col min="3" max="4" width="17.81640625" style="173" bestFit="1" customWidth="1"/>
    <col min="5" max="5" width="6.81640625" style="160" hidden="1" customWidth="1"/>
    <col min="6" max="6" width="12.453125" style="160" hidden="1" customWidth="1"/>
    <col min="7" max="7" width="13" style="160" hidden="1" customWidth="1"/>
    <col min="8" max="8" width="0.453125" style="160" customWidth="1"/>
    <col min="9" max="9" width="12" style="160" bestFit="1" customWidth="1"/>
    <col min="10" max="11" width="13.81640625" style="160" bestFit="1" customWidth="1"/>
    <col min="12" max="12" width="9.1796875" style="160"/>
    <col min="13" max="13" width="11.54296875" style="160" bestFit="1" customWidth="1"/>
    <col min="14" max="255" width="9.1796875" style="160"/>
    <col min="256" max="256" width="0" style="160" hidden="1" customWidth="1"/>
    <col min="257" max="257" width="37.1796875" style="160" bestFit="1" customWidth="1"/>
    <col min="258" max="259" width="13.81640625" style="160" bestFit="1" customWidth="1"/>
    <col min="260" max="263" width="0" style="160" hidden="1" customWidth="1"/>
    <col min="264" max="264" width="12" style="160" bestFit="1" customWidth="1"/>
    <col min="265" max="266" width="13.81640625" style="160" bestFit="1" customWidth="1"/>
    <col min="267" max="511" width="9.1796875" style="160"/>
    <col min="512" max="512" width="0" style="160" hidden="1" customWidth="1"/>
    <col min="513" max="513" width="37.1796875" style="160" bestFit="1" customWidth="1"/>
    <col min="514" max="515" width="13.81640625" style="160" bestFit="1" customWidth="1"/>
    <col min="516" max="519" width="0" style="160" hidden="1" customWidth="1"/>
    <col min="520" max="520" width="12" style="160" bestFit="1" customWidth="1"/>
    <col min="521" max="522" width="13.81640625" style="160" bestFit="1" customWidth="1"/>
    <col min="523" max="767" width="9.1796875" style="160"/>
    <col min="768" max="768" width="0" style="160" hidden="1" customWidth="1"/>
    <col min="769" max="769" width="37.1796875" style="160" bestFit="1" customWidth="1"/>
    <col min="770" max="771" width="13.81640625" style="160" bestFit="1" customWidth="1"/>
    <col min="772" max="775" width="0" style="160" hidden="1" customWidth="1"/>
    <col min="776" max="776" width="12" style="160" bestFit="1" customWidth="1"/>
    <col min="777" max="778" width="13.81640625" style="160" bestFit="1" customWidth="1"/>
    <col min="779" max="1023" width="9.1796875" style="160"/>
    <col min="1024" max="1024" width="0" style="160" hidden="1" customWidth="1"/>
    <col min="1025" max="1025" width="37.1796875" style="160" bestFit="1" customWidth="1"/>
    <col min="1026" max="1027" width="13.81640625" style="160" bestFit="1" customWidth="1"/>
    <col min="1028" max="1031" width="0" style="160" hidden="1" customWidth="1"/>
    <col min="1032" max="1032" width="12" style="160" bestFit="1" customWidth="1"/>
    <col min="1033" max="1034" width="13.81640625" style="160" bestFit="1" customWidth="1"/>
    <col min="1035" max="1279" width="9.1796875" style="160"/>
    <col min="1280" max="1280" width="0" style="160" hidden="1" customWidth="1"/>
    <col min="1281" max="1281" width="37.1796875" style="160" bestFit="1" customWidth="1"/>
    <col min="1282" max="1283" width="13.81640625" style="160" bestFit="1" customWidth="1"/>
    <col min="1284" max="1287" width="0" style="160" hidden="1" customWidth="1"/>
    <col min="1288" max="1288" width="12" style="160" bestFit="1" customWidth="1"/>
    <col min="1289" max="1290" width="13.81640625" style="160" bestFit="1" customWidth="1"/>
    <col min="1291" max="1535" width="9.1796875" style="160"/>
    <col min="1536" max="1536" width="0" style="160" hidden="1" customWidth="1"/>
    <col min="1537" max="1537" width="37.1796875" style="160" bestFit="1" customWidth="1"/>
    <col min="1538" max="1539" width="13.81640625" style="160" bestFit="1" customWidth="1"/>
    <col min="1540" max="1543" width="0" style="160" hidden="1" customWidth="1"/>
    <col min="1544" max="1544" width="12" style="160" bestFit="1" customWidth="1"/>
    <col min="1545" max="1546" width="13.81640625" style="160" bestFit="1" customWidth="1"/>
    <col min="1547" max="1791" width="9.1796875" style="160"/>
    <col min="1792" max="1792" width="0" style="160" hidden="1" customWidth="1"/>
    <col min="1793" max="1793" width="37.1796875" style="160" bestFit="1" customWidth="1"/>
    <col min="1794" max="1795" width="13.81640625" style="160" bestFit="1" customWidth="1"/>
    <col min="1796" max="1799" width="0" style="160" hidden="1" customWidth="1"/>
    <col min="1800" max="1800" width="12" style="160" bestFit="1" customWidth="1"/>
    <col min="1801" max="1802" width="13.81640625" style="160" bestFit="1" customWidth="1"/>
    <col min="1803" max="2047" width="9.1796875" style="160"/>
    <col min="2048" max="2048" width="0" style="160" hidden="1" customWidth="1"/>
    <col min="2049" max="2049" width="37.1796875" style="160" bestFit="1" customWidth="1"/>
    <col min="2050" max="2051" width="13.81640625" style="160" bestFit="1" customWidth="1"/>
    <col min="2052" max="2055" width="0" style="160" hidden="1" customWidth="1"/>
    <col min="2056" max="2056" width="12" style="160" bestFit="1" customWidth="1"/>
    <col min="2057" max="2058" width="13.81640625" style="160" bestFit="1" customWidth="1"/>
    <col min="2059" max="2303" width="9.1796875" style="160"/>
    <col min="2304" max="2304" width="0" style="160" hidden="1" customWidth="1"/>
    <col min="2305" max="2305" width="37.1796875" style="160" bestFit="1" customWidth="1"/>
    <col min="2306" max="2307" width="13.81640625" style="160" bestFit="1" customWidth="1"/>
    <col min="2308" max="2311" width="0" style="160" hidden="1" customWidth="1"/>
    <col min="2312" max="2312" width="12" style="160" bestFit="1" customWidth="1"/>
    <col min="2313" max="2314" width="13.81640625" style="160" bestFit="1" customWidth="1"/>
    <col min="2315" max="2559" width="9.1796875" style="160"/>
    <col min="2560" max="2560" width="0" style="160" hidden="1" customWidth="1"/>
    <col min="2561" max="2561" width="37.1796875" style="160" bestFit="1" customWidth="1"/>
    <col min="2562" max="2563" width="13.81640625" style="160" bestFit="1" customWidth="1"/>
    <col min="2564" max="2567" width="0" style="160" hidden="1" customWidth="1"/>
    <col min="2568" max="2568" width="12" style="160" bestFit="1" customWidth="1"/>
    <col min="2569" max="2570" width="13.81640625" style="160" bestFit="1" customWidth="1"/>
    <col min="2571" max="2815" width="9.1796875" style="160"/>
    <col min="2816" max="2816" width="0" style="160" hidden="1" customWidth="1"/>
    <col min="2817" max="2817" width="37.1796875" style="160" bestFit="1" customWidth="1"/>
    <col min="2818" max="2819" width="13.81640625" style="160" bestFit="1" customWidth="1"/>
    <col min="2820" max="2823" width="0" style="160" hidden="1" customWidth="1"/>
    <col min="2824" max="2824" width="12" style="160" bestFit="1" customWidth="1"/>
    <col min="2825" max="2826" width="13.81640625" style="160" bestFit="1" customWidth="1"/>
    <col min="2827" max="3071" width="9.1796875" style="160"/>
    <col min="3072" max="3072" width="0" style="160" hidden="1" customWidth="1"/>
    <col min="3073" max="3073" width="37.1796875" style="160" bestFit="1" customWidth="1"/>
    <col min="3074" max="3075" width="13.81640625" style="160" bestFit="1" customWidth="1"/>
    <col min="3076" max="3079" width="0" style="160" hidden="1" customWidth="1"/>
    <col min="3080" max="3080" width="12" style="160" bestFit="1" customWidth="1"/>
    <col min="3081" max="3082" width="13.81640625" style="160" bestFit="1" customWidth="1"/>
    <col min="3083" max="3327" width="9.1796875" style="160"/>
    <col min="3328" max="3328" width="0" style="160" hidden="1" customWidth="1"/>
    <col min="3329" max="3329" width="37.1796875" style="160" bestFit="1" customWidth="1"/>
    <col min="3330" max="3331" width="13.81640625" style="160" bestFit="1" customWidth="1"/>
    <col min="3332" max="3335" width="0" style="160" hidden="1" customWidth="1"/>
    <col min="3336" max="3336" width="12" style="160" bestFit="1" customWidth="1"/>
    <col min="3337" max="3338" width="13.81640625" style="160" bestFit="1" customWidth="1"/>
    <col min="3339" max="3583" width="9.1796875" style="160"/>
    <col min="3584" max="3584" width="0" style="160" hidden="1" customWidth="1"/>
    <col min="3585" max="3585" width="37.1796875" style="160" bestFit="1" customWidth="1"/>
    <col min="3586" max="3587" width="13.81640625" style="160" bestFit="1" customWidth="1"/>
    <col min="3588" max="3591" width="0" style="160" hidden="1" customWidth="1"/>
    <col min="3592" max="3592" width="12" style="160" bestFit="1" customWidth="1"/>
    <col min="3593" max="3594" width="13.81640625" style="160" bestFit="1" customWidth="1"/>
    <col min="3595" max="3839" width="9.1796875" style="160"/>
    <col min="3840" max="3840" width="0" style="160" hidden="1" customWidth="1"/>
    <col min="3841" max="3841" width="37.1796875" style="160" bestFit="1" customWidth="1"/>
    <col min="3842" max="3843" width="13.81640625" style="160" bestFit="1" customWidth="1"/>
    <col min="3844" max="3847" width="0" style="160" hidden="1" customWidth="1"/>
    <col min="3848" max="3848" width="12" style="160" bestFit="1" customWidth="1"/>
    <col min="3849" max="3850" width="13.81640625" style="160" bestFit="1" customWidth="1"/>
    <col min="3851" max="4095" width="9.1796875" style="160"/>
    <col min="4096" max="4096" width="0" style="160" hidden="1" customWidth="1"/>
    <col min="4097" max="4097" width="37.1796875" style="160" bestFit="1" customWidth="1"/>
    <col min="4098" max="4099" width="13.81640625" style="160" bestFit="1" customWidth="1"/>
    <col min="4100" max="4103" width="0" style="160" hidden="1" customWidth="1"/>
    <col min="4104" max="4104" width="12" style="160" bestFit="1" customWidth="1"/>
    <col min="4105" max="4106" width="13.81640625" style="160" bestFit="1" customWidth="1"/>
    <col min="4107" max="4351" width="9.1796875" style="160"/>
    <col min="4352" max="4352" width="0" style="160" hidden="1" customWidth="1"/>
    <col min="4353" max="4353" width="37.1796875" style="160" bestFit="1" customWidth="1"/>
    <col min="4354" max="4355" width="13.81640625" style="160" bestFit="1" customWidth="1"/>
    <col min="4356" max="4359" width="0" style="160" hidden="1" customWidth="1"/>
    <col min="4360" max="4360" width="12" style="160" bestFit="1" customWidth="1"/>
    <col min="4361" max="4362" width="13.81640625" style="160" bestFit="1" customWidth="1"/>
    <col min="4363" max="4607" width="9.1796875" style="160"/>
    <col min="4608" max="4608" width="0" style="160" hidden="1" customWidth="1"/>
    <col min="4609" max="4609" width="37.1796875" style="160" bestFit="1" customWidth="1"/>
    <col min="4610" max="4611" width="13.81640625" style="160" bestFit="1" customWidth="1"/>
    <col min="4612" max="4615" width="0" style="160" hidden="1" customWidth="1"/>
    <col min="4616" max="4616" width="12" style="160" bestFit="1" customWidth="1"/>
    <col min="4617" max="4618" width="13.81640625" style="160" bestFit="1" customWidth="1"/>
    <col min="4619" max="4863" width="9.1796875" style="160"/>
    <col min="4864" max="4864" width="0" style="160" hidden="1" customWidth="1"/>
    <col min="4865" max="4865" width="37.1796875" style="160" bestFit="1" customWidth="1"/>
    <col min="4866" max="4867" width="13.81640625" style="160" bestFit="1" customWidth="1"/>
    <col min="4868" max="4871" width="0" style="160" hidden="1" customWidth="1"/>
    <col min="4872" max="4872" width="12" style="160" bestFit="1" customWidth="1"/>
    <col min="4873" max="4874" width="13.81640625" style="160" bestFit="1" customWidth="1"/>
    <col min="4875" max="5119" width="9.1796875" style="160"/>
    <col min="5120" max="5120" width="0" style="160" hidden="1" customWidth="1"/>
    <col min="5121" max="5121" width="37.1796875" style="160" bestFit="1" customWidth="1"/>
    <col min="5122" max="5123" width="13.81640625" style="160" bestFit="1" customWidth="1"/>
    <col min="5124" max="5127" width="0" style="160" hidden="1" customWidth="1"/>
    <col min="5128" max="5128" width="12" style="160" bestFit="1" customWidth="1"/>
    <col min="5129" max="5130" width="13.81640625" style="160" bestFit="1" customWidth="1"/>
    <col min="5131" max="5375" width="9.1796875" style="160"/>
    <col min="5376" max="5376" width="0" style="160" hidden="1" customWidth="1"/>
    <col min="5377" max="5377" width="37.1796875" style="160" bestFit="1" customWidth="1"/>
    <col min="5378" max="5379" width="13.81640625" style="160" bestFit="1" customWidth="1"/>
    <col min="5380" max="5383" width="0" style="160" hidden="1" customWidth="1"/>
    <col min="5384" max="5384" width="12" style="160" bestFit="1" customWidth="1"/>
    <col min="5385" max="5386" width="13.81640625" style="160" bestFit="1" customWidth="1"/>
    <col min="5387" max="5631" width="9.1796875" style="160"/>
    <col min="5632" max="5632" width="0" style="160" hidden="1" customWidth="1"/>
    <col min="5633" max="5633" width="37.1796875" style="160" bestFit="1" customWidth="1"/>
    <col min="5634" max="5635" width="13.81640625" style="160" bestFit="1" customWidth="1"/>
    <col min="5636" max="5639" width="0" style="160" hidden="1" customWidth="1"/>
    <col min="5640" max="5640" width="12" style="160" bestFit="1" customWidth="1"/>
    <col min="5641" max="5642" width="13.81640625" style="160" bestFit="1" customWidth="1"/>
    <col min="5643" max="5887" width="9.1796875" style="160"/>
    <col min="5888" max="5888" width="0" style="160" hidden="1" customWidth="1"/>
    <col min="5889" max="5889" width="37.1796875" style="160" bestFit="1" customWidth="1"/>
    <col min="5890" max="5891" width="13.81640625" style="160" bestFit="1" customWidth="1"/>
    <col min="5892" max="5895" width="0" style="160" hidden="1" customWidth="1"/>
    <col min="5896" max="5896" width="12" style="160" bestFit="1" customWidth="1"/>
    <col min="5897" max="5898" width="13.81640625" style="160" bestFit="1" customWidth="1"/>
    <col min="5899" max="6143" width="9.1796875" style="160"/>
    <col min="6144" max="6144" width="0" style="160" hidden="1" customWidth="1"/>
    <col min="6145" max="6145" width="37.1796875" style="160" bestFit="1" customWidth="1"/>
    <col min="6146" max="6147" width="13.81640625" style="160" bestFit="1" customWidth="1"/>
    <col min="6148" max="6151" width="0" style="160" hidden="1" customWidth="1"/>
    <col min="6152" max="6152" width="12" style="160" bestFit="1" customWidth="1"/>
    <col min="6153" max="6154" width="13.81640625" style="160" bestFit="1" customWidth="1"/>
    <col min="6155" max="6399" width="9.1796875" style="160"/>
    <col min="6400" max="6400" width="0" style="160" hidden="1" customWidth="1"/>
    <col min="6401" max="6401" width="37.1796875" style="160" bestFit="1" customWidth="1"/>
    <col min="6402" max="6403" width="13.81640625" style="160" bestFit="1" customWidth="1"/>
    <col min="6404" max="6407" width="0" style="160" hidden="1" customWidth="1"/>
    <col min="6408" max="6408" width="12" style="160" bestFit="1" customWidth="1"/>
    <col min="6409" max="6410" width="13.81640625" style="160" bestFit="1" customWidth="1"/>
    <col min="6411" max="6655" width="9.1796875" style="160"/>
    <col min="6656" max="6656" width="0" style="160" hidden="1" customWidth="1"/>
    <col min="6657" max="6657" width="37.1796875" style="160" bestFit="1" customWidth="1"/>
    <col min="6658" max="6659" width="13.81640625" style="160" bestFit="1" customWidth="1"/>
    <col min="6660" max="6663" width="0" style="160" hidden="1" customWidth="1"/>
    <col min="6664" max="6664" width="12" style="160" bestFit="1" customWidth="1"/>
    <col min="6665" max="6666" width="13.81640625" style="160" bestFit="1" customWidth="1"/>
    <col min="6667" max="6911" width="9.1796875" style="160"/>
    <col min="6912" max="6912" width="0" style="160" hidden="1" customWidth="1"/>
    <col min="6913" max="6913" width="37.1796875" style="160" bestFit="1" customWidth="1"/>
    <col min="6914" max="6915" width="13.81640625" style="160" bestFit="1" customWidth="1"/>
    <col min="6916" max="6919" width="0" style="160" hidden="1" customWidth="1"/>
    <col min="6920" max="6920" width="12" style="160" bestFit="1" customWidth="1"/>
    <col min="6921" max="6922" width="13.81640625" style="160" bestFit="1" customWidth="1"/>
    <col min="6923" max="7167" width="9.1796875" style="160"/>
    <col min="7168" max="7168" width="0" style="160" hidden="1" customWidth="1"/>
    <col min="7169" max="7169" width="37.1796875" style="160" bestFit="1" customWidth="1"/>
    <col min="7170" max="7171" width="13.81640625" style="160" bestFit="1" customWidth="1"/>
    <col min="7172" max="7175" width="0" style="160" hidden="1" customWidth="1"/>
    <col min="7176" max="7176" width="12" style="160" bestFit="1" customWidth="1"/>
    <col min="7177" max="7178" width="13.81640625" style="160" bestFit="1" customWidth="1"/>
    <col min="7179" max="7423" width="9.1796875" style="160"/>
    <col min="7424" max="7424" width="0" style="160" hidden="1" customWidth="1"/>
    <col min="7425" max="7425" width="37.1796875" style="160" bestFit="1" customWidth="1"/>
    <col min="7426" max="7427" width="13.81640625" style="160" bestFit="1" customWidth="1"/>
    <col min="7428" max="7431" width="0" style="160" hidden="1" customWidth="1"/>
    <col min="7432" max="7432" width="12" style="160" bestFit="1" customWidth="1"/>
    <col min="7433" max="7434" width="13.81640625" style="160" bestFit="1" customWidth="1"/>
    <col min="7435" max="7679" width="9.1796875" style="160"/>
    <col min="7680" max="7680" width="0" style="160" hidden="1" customWidth="1"/>
    <col min="7681" max="7681" width="37.1796875" style="160" bestFit="1" customWidth="1"/>
    <col min="7682" max="7683" width="13.81640625" style="160" bestFit="1" customWidth="1"/>
    <col min="7684" max="7687" width="0" style="160" hidden="1" customWidth="1"/>
    <col min="7688" max="7688" width="12" style="160" bestFit="1" customWidth="1"/>
    <col min="7689" max="7690" width="13.81640625" style="160" bestFit="1" customWidth="1"/>
    <col min="7691" max="7935" width="9.1796875" style="160"/>
    <col min="7936" max="7936" width="0" style="160" hidden="1" customWidth="1"/>
    <col min="7937" max="7937" width="37.1796875" style="160" bestFit="1" customWidth="1"/>
    <col min="7938" max="7939" width="13.81640625" style="160" bestFit="1" customWidth="1"/>
    <col min="7940" max="7943" width="0" style="160" hidden="1" customWidth="1"/>
    <col min="7944" max="7944" width="12" style="160" bestFit="1" customWidth="1"/>
    <col min="7945" max="7946" width="13.81640625" style="160" bestFit="1" customWidth="1"/>
    <col min="7947" max="8191" width="9.1796875" style="160"/>
    <col min="8192" max="8192" width="0" style="160" hidden="1" customWidth="1"/>
    <col min="8193" max="8193" width="37.1796875" style="160" bestFit="1" customWidth="1"/>
    <col min="8194" max="8195" width="13.81640625" style="160" bestFit="1" customWidth="1"/>
    <col min="8196" max="8199" width="0" style="160" hidden="1" customWidth="1"/>
    <col min="8200" max="8200" width="12" style="160" bestFit="1" customWidth="1"/>
    <col min="8201" max="8202" width="13.81640625" style="160" bestFit="1" customWidth="1"/>
    <col min="8203" max="8447" width="9.1796875" style="160"/>
    <col min="8448" max="8448" width="0" style="160" hidden="1" customWidth="1"/>
    <col min="8449" max="8449" width="37.1796875" style="160" bestFit="1" customWidth="1"/>
    <col min="8450" max="8451" width="13.81640625" style="160" bestFit="1" customWidth="1"/>
    <col min="8452" max="8455" width="0" style="160" hidden="1" customWidth="1"/>
    <col min="8456" max="8456" width="12" style="160" bestFit="1" customWidth="1"/>
    <col min="8457" max="8458" width="13.81640625" style="160" bestFit="1" customWidth="1"/>
    <col min="8459" max="8703" width="9.1796875" style="160"/>
    <col min="8704" max="8704" width="0" style="160" hidden="1" customWidth="1"/>
    <col min="8705" max="8705" width="37.1796875" style="160" bestFit="1" customWidth="1"/>
    <col min="8706" max="8707" width="13.81640625" style="160" bestFit="1" customWidth="1"/>
    <col min="8708" max="8711" width="0" style="160" hidden="1" customWidth="1"/>
    <col min="8712" max="8712" width="12" style="160" bestFit="1" customWidth="1"/>
    <col min="8713" max="8714" width="13.81640625" style="160" bestFit="1" customWidth="1"/>
    <col min="8715" max="8959" width="9.1796875" style="160"/>
    <col min="8960" max="8960" width="0" style="160" hidden="1" customWidth="1"/>
    <col min="8961" max="8961" width="37.1796875" style="160" bestFit="1" customWidth="1"/>
    <col min="8962" max="8963" width="13.81640625" style="160" bestFit="1" customWidth="1"/>
    <col min="8964" max="8967" width="0" style="160" hidden="1" customWidth="1"/>
    <col min="8968" max="8968" width="12" style="160" bestFit="1" customWidth="1"/>
    <col min="8969" max="8970" width="13.81640625" style="160" bestFit="1" customWidth="1"/>
    <col min="8971" max="9215" width="9.1796875" style="160"/>
    <col min="9216" max="9216" width="0" style="160" hidden="1" customWidth="1"/>
    <col min="9217" max="9217" width="37.1796875" style="160" bestFit="1" customWidth="1"/>
    <col min="9218" max="9219" width="13.81640625" style="160" bestFit="1" customWidth="1"/>
    <col min="9220" max="9223" width="0" style="160" hidden="1" customWidth="1"/>
    <col min="9224" max="9224" width="12" style="160" bestFit="1" customWidth="1"/>
    <col min="9225" max="9226" width="13.81640625" style="160" bestFit="1" customWidth="1"/>
    <col min="9227" max="9471" width="9.1796875" style="160"/>
    <col min="9472" max="9472" width="0" style="160" hidden="1" customWidth="1"/>
    <col min="9473" max="9473" width="37.1796875" style="160" bestFit="1" customWidth="1"/>
    <col min="9474" max="9475" width="13.81640625" style="160" bestFit="1" customWidth="1"/>
    <col min="9476" max="9479" width="0" style="160" hidden="1" customWidth="1"/>
    <col min="9480" max="9480" width="12" style="160" bestFit="1" customWidth="1"/>
    <col min="9481" max="9482" width="13.81640625" style="160" bestFit="1" customWidth="1"/>
    <col min="9483" max="9727" width="9.1796875" style="160"/>
    <col min="9728" max="9728" width="0" style="160" hidden="1" customWidth="1"/>
    <col min="9729" max="9729" width="37.1796875" style="160" bestFit="1" customWidth="1"/>
    <col min="9730" max="9731" width="13.81640625" style="160" bestFit="1" customWidth="1"/>
    <col min="9732" max="9735" width="0" style="160" hidden="1" customWidth="1"/>
    <col min="9736" max="9736" width="12" style="160" bestFit="1" customWidth="1"/>
    <col min="9737" max="9738" width="13.81640625" style="160" bestFit="1" customWidth="1"/>
    <col min="9739" max="9983" width="9.1796875" style="160"/>
    <col min="9984" max="9984" width="0" style="160" hidden="1" customWidth="1"/>
    <col min="9985" max="9985" width="37.1796875" style="160" bestFit="1" customWidth="1"/>
    <col min="9986" max="9987" width="13.81640625" style="160" bestFit="1" customWidth="1"/>
    <col min="9988" max="9991" width="0" style="160" hidden="1" customWidth="1"/>
    <col min="9992" max="9992" width="12" style="160" bestFit="1" customWidth="1"/>
    <col min="9993" max="9994" width="13.81640625" style="160" bestFit="1" customWidth="1"/>
    <col min="9995" max="10239" width="9.1796875" style="160"/>
    <col min="10240" max="10240" width="0" style="160" hidden="1" customWidth="1"/>
    <col min="10241" max="10241" width="37.1796875" style="160" bestFit="1" customWidth="1"/>
    <col min="10242" max="10243" width="13.81640625" style="160" bestFit="1" customWidth="1"/>
    <col min="10244" max="10247" width="0" style="160" hidden="1" customWidth="1"/>
    <col min="10248" max="10248" width="12" style="160" bestFit="1" customWidth="1"/>
    <col min="10249" max="10250" width="13.81640625" style="160" bestFit="1" customWidth="1"/>
    <col min="10251" max="10495" width="9.1796875" style="160"/>
    <col min="10496" max="10496" width="0" style="160" hidden="1" customWidth="1"/>
    <col min="10497" max="10497" width="37.1796875" style="160" bestFit="1" customWidth="1"/>
    <col min="10498" max="10499" width="13.81640625" style="160" bestFit="1" customWidth="1"/>
    <col min="10500" max="10503" width="0" style="160" hidden="1" customWidth="1"/>
    <col min="10504" max="10504" width="12" style="160" bestFit="1" customWidth="1"/>
    <col min="10505" max="10506" width="13.81640625" style="160" bestFit="1" customWidth="1"/>
    <col min="10507" max="10751" width="9.1796875" style="160"/>
    <col min="10752" max="10752" width="0" style="160" hidden="1" customWidth="1"/>
    <col min="10753" max="10753" width="37.1796875" style="160" bestFit="1" customWidth="1"/>
    <col min="10754" max="10755" width="13.81640625" style="160" bestFit="1" customWidth="1"/>
    <col min="10756" max="10759" width="0" style="160" hidden="1" customWidth="1"/>
    <col min="10760" max="10760" width="12" style="160" bestFit="1" customWidth="1"/>
    <col min="10761" max="10762" width="13.81640625" style="160" bestFit="1" customWidth="1"/>
    <col min="10763" max="11007" width="9.1796875" style="160"/>
    <col min="11008" max="11008" width="0" style="160" hidden="1" customWidth="1"/>
    <col min="11009" max="11009" width="37.1796875" style="160" bestFit="1" customWidth="1"/>
    <col min="11010" max="11011" width="13.81640625" style="160" bestFit="1" customWidth="1"/>
    <col min="11012" max="11015" width="0" style="160" hidden="1" customWidth="1"/>
    <col min="11016" max="11016" width="12" style="160" bestFit="1" customWidth="1"/>
    <col min="11017" max="11018" width="13.81640625" style="160" bestFit="1" customWidth="1"/>
    <col min="11019" max="11263" width="9.1796875" style="160"/>
    <col min="11264" max="11264" width="0" style="160" hidden="1" customWidth="1"/>
    <col min="11265" max="11265" width="37.1796875" style="160" bestFit="1" customWidth="1"/>
    <col min="11266" max="11267" width="13.81640625" style="160" bestFit="1" customWidth="1"/>
    <col min="11268" max="11271" width="0" style="160" hidden="1" customWidth="1"/>
    <col min="11272" max="11272" width="12" style="160" bestFit="1" customWidth="1"/>
    <col min="11273" max="11274" width="13.81640625" style="160" bestFit="1" customWidth="1"/>
    <col min="11275" max="11519" width="9.1796875" style="160"/>
    <col min="11520" max="11520" width="0" style="160" hidden="1" customWidth="1"/>
    <col min="11521" max="11521" width="37.1796875" style="160" bestFit="1" customWidth="1"/>
    <col min="11522" max="11523" width="13.81640625" style="160" bestFit="1" customWidth="1"/>
    <col min="11524" max="11527" width="0" style="160" hidden="1" customWidth="1"/>
    <col min="11528" max="11528" width="12" style="160" bestFit="1" customWidth="1"/>
    <col min="11529" max="11530" width="13.81640625" style="160" bestFit="1" customWidth="1"/>
    <col min="11531" max="11775" width="9.1796875" style="160"/>
    <col min="11776" max="11776" width="0" style="160" hidden="1" customWidth="1"/>
    <col min="11777" max="11777" width="37.1796875" style="160" bestFit="1" customWidth="1"/>
    <col min="11778" max="11779" width="13.81640625" style="160" bestFit="1" customWidth="1"/>
    <col min="11780" max="11783" width="0" style="160" hidden="1" customWidth="1"/>
    <col min="11784" max="11784" width="12" style="160" bestFit="1" customWidth="1"/>
    <col min="11785" max="11786" width="13.81640625" style="160" bestFit="1" customWidth="1"/>
    <col min="11787" max="12031" width="9.1796875" style="160"/>
    <col min="12032" max="12032" width="0" style="160" hidden="1" customWidth="1"/>
    <col min="12033" max="12033" width="37.1796875" style="160" bestFit="1" customWidth="1"/>
    <col min="12034" max="12035" width="13.81640625" style="160" bestFit="1" customWidth="1"/>
    <col min="12036" max="12039" width="0" style="160" hidden="1" customWidth="1"/>
    <col min="12040" max="12040" width="12" style="160" bestFit="1" customWidth="1"/>
    <col min="12041" max="12042" width="13.81640625" style="160" bestFit="1" customWidth="1"/>
    <col min="12043" max="12287" width="9.1796875" style="160"/>
    <col min="12288" max="12288" width="0" style="160" hidden="1" customWidth="1"/>
    <col min="12289" max="12289" width="37.1796875" style="160" bestFit="1" customWidth="1"/>
    <col min="12290" max="12291" width="13.81640625" style="160" bestFit="1" customWidth="1"/>
    <col min="12292" max="12295" width="0" style="160" hidden="1" customWidth="1"/>
    <col min="12296" max="12296" width="12" style="160" bestFit="1" customWidth="1"/>
    <col min="12297" max="12298" width="13.81640625" style="160" bestFit="1" customWidth="1"/>
    <col min="12299" max="12543" width="9.1796875" style="160"/>
    <col min="12544" max="12544" width="0" style="160" hidden="1" customWidth="1"/>
    <col min="12545" max="12545" width="37.1796875" style="160" bestFit="1" customWidth="1"/>
    <col min="12546" max="12547" width="13.81640625" style="160" bestFit="1" customWidth="1"/>
    <col min="12548" max="12551" width="0" style="160" hidden="1" customWidth="1"/>
    <col min="12552" max="12552" width="12" style="160" bestFit="1" customWidth="1"/>
    <col min="12553" max="12554" width="13.81640625" style="160" bestFit="1" customWidth="1"/>
    <col min="12555" max="12799" width="9.1796875" style="160"/>
    <col min="12800" max="12800" width="0" style="160" hidden="1" customWidth="1"/>
    <col min="12801" max="12801" width="37.1796875" style="160" bestFit="1" customWidth="1"/>
    <col min="12802" max="12803" width="13.81640625" style="160" bestFit="1" customWidth="1"/>
    <col min="12804" max="12807" width="0" style="160" hidden="1" customWidth="1"/>
    <col min="12808" max="12808" width="12" style="160" bestFit="1" customWidth="1"/>
    <col min="12809" max="12810" width="13.81640625" style="160" bestFit="1" customWidth="1"/>
    <col min="12811" max="13055" width="9.1796875" style="160"/>
    <col min="13056" max="13056" width="0" style="160" hidden="1" customWidth="1"/>
    <col min="13057" max="13057" width="37.1796875" style="160" bestFit="1" customWidth="1"/>
    <col min="13058" max="13059" width="13.81640625" style="160" bestFit="1" customWidth="1"/>
    <col min="13060" max="13063" width="0" style="160" hidden="1" customWidth="1"/>
    <col min="13064" max="13064" width="12" style="160" bestFit="1" customWidth="1"/>
    <col min="13065" max="13066" width="13.81640625" style="160" bestFit="1" customWidth="1"/>
    <col min="13067" max="13311" width="9.1796875" style="160"/>
    <col min="13312" max="13312" width="0" style="160" hidden="1" customWidth="1"/>
    <col min="13313" max="13313" width="37.1796875" style="160" bestFit="1" customWidth="1"/>
    <col min="13314" max="13315" width="13.81640625" style="160" bestFit="1" customWidth="1"/>
    <col min="13316" max="13319" width="0" style="160" hidden="1" customWidth="1"/>
    <col min="13320" max="13320" width="12" style="160" bestFit="1" customWidth="1"/>
    <col min="13321" max="13322" width="13.81640625" style="160" bestFit="1" customWidth="1"/>
    <col min="13323" max="13567" width="9.1796875" style="160"/>
    <col min="13568" max="13568" width="0" style="160" hidden="1" customWidth="1"/>
    <col min="13569" max="13569" width="37.1796875" style="160" bestFit="1" customWidth="1"/>
    <col min="13570" max="13571" width="13.81640625" style="160" bestFit="1" customWidth="1"/>
    <col min="13572" max="13575" width="0" style="160" hidden="1" customWidth="1"/>
    <col min="13576" max="13576" width="12" style="160" bestFit="1" customWidth="1"/>
    <col min="13577" max="13578" width="13.81640625" style="160" bestFit="1" customWidth="1"/>
    <col min="13579" max="13823" width="9.1796875" style="160"/>
    <col min="13824" max="13824" width="0" style="160" hidden="1" customWidth="1"/>
    <col min="13825" max="13825" width="37.1796875" style="160" bestFit="1" customWidth="1"/>
    <col min="13826" max="13827" width="13.81640625" style="160" bestFit="1" customWidth="1"/>
    <col min="13828" max="13831" width="0" style="160" hidden="1" customWidth="1"/>
    <col min="13832" max="13832" width="12" style="160" bestFit="1" customWidth="1"/>
    <col min="13833" max="13834" width="13.81640625" style="160" bestFit="1" customWidth="1"/>
    <col min="13835" max="14079" width="9.1796875" style="160"/>
    <col min="14080" max="14080" width="0" style="160" hidden="1" customWidth="1"/>
    <col min="14081" max="14081" width="37.1796875" style="160" bestFit="1" customWidth="1"/>
    <col min="14082" max="14083" width="13.81640625" style="160" bestFit="1" customWidth="1"/>
    <col min="14084" max="14087" width="0" style="160" hidden="1" customWidth="1"/>
    <col min="14088" max="14088" width="12" style="160" bestFit="1" customWidth="1"/>
    <col min="14089" max="14090" width="13.81640625" style="160" bestFit="1" customWidth="1"/>
    <col min="14091" max="14335" width="9.1796875" style="160"/>
    <col min="14336" max="14336" width="0" style="160" hidden="1" customWidth="1"/>
    <col min="14337" max="14337" width="37.1796875" style="160" bestFit="1" customWidth="1"/>
    <col min="14338" max="14339" width="13.81640625" style="160" bestFit="1" customWidth="1"/>
    <col min="14340" max="14343" width="0" style="160" hidden="1" customWidth="1"/>
    <col min="14344" max="14344" width="12" style="160" bestFit="1" customWidth="1"/>
    <col min="14345" max="14346" width="13.81640625" style="160" bestFit="1" customWidth="1"/>
    <col min="14347" max="14591" width="9.1796875" style="160"/>
    <col min="14592" max="14592" width="0" style="160" hidden="1" customWidth="1"/>
    <col min="14593" max="14593" width="37.1796875" style="160" bestFit="1" customWidth="1"/>
    <col min="14594" max="14595" width="13.81640625" style="160" bestFit="1" customWidth="1"/>
    <col min="14596" max="14599" width="0" style="160" hidden="1" customWidth="1"/>
    <col min="14600" max="14600" width="12" style="160" bestFit="1" customWidth="1"/>
    <col min="14601" max="14602" width="13.81640625" style="160" bestFit="1" customWidth="1"/>
    <col min="14603" max="14847" width="9.1796875" style="160"/>
    <col min="14848" max="14848" width="0" style="160" hidden="1" customWidth="1"/>
    <col min="14849" max="14849" width="37.1796875" style="160" bestFit="1" customWidth="1"/>
    <col min="14850" max="14851" width="13.81640625" style="160" bestFit="1" customWidth="1"/>
    <col min="14852" max="14855" width="0" style="160" hidden="1" customWidth="1"/>
    <col min="14856" max="14856" width="12" style="160" bestFit="1" customWidth="1"/>
    <col min="14857" max="14858" width="13.81640625" style="160" bestFit="1" customWidth="1"/>
    <col min="14859" max="15103" width="9.1796875" style="160"/>
    <col min="15104" max="15104" width="0" style="160" hidden="1" customWidth="1"/>
    <col min="15105" max="15105" width="37.1796875" style="160" bestFit="1" customWidth="1"/>
    <col min="15106" max="15107" width="13.81640625" style="160" bestFit="1" customWidth="1"/>
    <col min="15108" max="15111" width="0" style="160" hidden="1" customWidth="1"/>
    <col min="15112" max="15112" width="12" style="160" bestFit="1" customWidth="1"/>
    <col min="15113" max="15114" width="13.81640625" style="160" bestFit="1" customWidth="1"/>
    <col min="15115" max="15359" width="9.1796875" style="160"/>
    <col min="15360" max="15360" width="0" style="160" hidden="1" customWidth="1"/>
    <col min="15361" max="15361" width="37.1796875" style="160" bestFit="1" customWidth="1"/>
    <col min="15362" max="15363" width="13.81640625" style="160" bestFit="1" customWidth="1"/>
    <col min="15364" max="15367" width="0" style="160" hidden="1" customWidth="1"/>
    <col min="15368" max="15368" width="12" style="160" bestFit="1" customWidth="1"/>
    <col min="15369" max="15370" width="13.81640625" style="160" bestFit="1" customWidth="1"/>
    <col min="15371" max="15615" width="9.1796875" style="160"/>
    <col min="15616" max="15616" width="0" style="160" hidden="1" customWidth="1"/>
    <col min="15617" max="15617" width="37.1796875" style="160" bestFit="1" customWidth="1"/>
    <col min="15618" max="15619" width="13.81640625" style="160" bestFit="1" customWidth="1"/>
    <col min="15620" max="15623" width="0" style="160" hidden="1" customWidth="1"/>
    <col min="15624" max="15624" width="12" style="160" bestFit="1" customWidth="1"/>
    <col min="15625" max="15626" width="13.81640625" style="160" bestFit="1" customWidth="1"/>
    <col min="15627" max="15871" width="9.1796875" style="160"/>
    <col min="15872" max="15872" width="0" style="160" hidden="1" customWidth="1"/>
    <col min="15873" max="15873" width="37.1796875" style="160" bestFit="1" customWidth="1"/>
    <col min="15874" max="15875" width="13.81640625" style="160" bestFit="1" customWidth="1"/>
    <col min="15876" max="15879" width="0" style="160" hidden="1" customWidth="1"/>
    <col min="15880" max="15880" width="12" style="160" bestFit="1" customWidth="1"/>
    <col min="15881" max="15882" width="13.81640625" style="160" bestFit="1" customWidth="1"/>
    <col min="15883" max="16127" width="9.1796875" style="160"/>
    <col min="16128" max="16128" width="0" style="160" hidden="1" customWidth="1"/>
    <col min="16129" max="16129" width="37.1796875" style="160" bestFit="1" customWidth="1"/>
    <col min="16130" max="16131" width="13.81640625" style="160" bestFit="1" customWidth="1"/>
    <col min="16132" max="16135" width="0" style="160" hidden="1" customWidth="1"/>
    <col min="16136" max="16136" width="12" style="160" bestFit="1" customWidth="1"/>
    <col min="16137" max="16138" width="13.81640625" style="160" bestFit="1" customWidth="1"/>
    <col min="16139" max="16384" width="9.1796875" style="160"/>
  </cols>
  <sheetData>
    <row r="1" spans="2:11" ht="13">
      <c r="B1" s="158" t="s">
        <v>271</v>
      </c>
      <c r="C1" s="159"/>
      <c r="D1" s="159"/>
      <c r="E1" s="158" t="s">
        <v>272</v>
      </c>
    </row>
    <row r="2" spans="2:11" s="158" customFormat="1" ht="13">
      <c r="B2" s="158" t="s">
        <v>273</v>
      </c>
      <c r="C2" s="159"/>
      <c r="D2" s="159"/>
    </row>
    <row r="3" spans="2:11" s="158" customFormat="1" ht="13">
      <c r="B3" s="158" t="s">
        <v>274</v>
      </c>
      <c r="C3" s="159"/>
      <c r="D3" s="159"/>
    </row>
    <row r="4" spans="2:11" s="158" customFormat="1" ht="13">
      <c r="B4" s="158" t="s">
        <v>275</v>
      </c>
      <c r="C4" s="161"/>
      <c r="D4" s="159"/>
    </row>
    <row r="5" spans="2:11">
      <c r="B5" s="160" t="s">
        <v>276</v>
      </c>
      <c r="C5" s="162">
        <v>0</v>
      </c>
      <c r="D5" s="162"/>
      <c r="E5" s="160" t="s">
        <v>272</v>
      </c>
    </row>
    <row r="6" spans="2:11">
      <c r="B6" s="160" t="s">
        <v>277</v>
      </c>
      <c r="C6" s="163"/>
      <c r="D6" s="163"/>
    </row>
    <row r="7" spans="2:11" ht="14.5" customHeight="1">
      <c r="B7" s="447" t="s">
        <v>278</v>
      </c>
      <c r="C7" s="449">
        <v>44561</v>
      </c>
      <c r="D7" s="451">
        <v>44196</v>
      </c>
    </row>
    <row r="8" spans="2:11" ht="13">
      <c r="B8" s="448"/>
      <c r="C8" s="450"/>
      <c r="D8" s="452"/>
      <c r="E8" s="370"/>
      <c r="F8" s="370"/>
      <c r="G8" s="371"/>
      <c r="H8" s="370"/>
      <c r="J8" s="372"/>
      <c r="K8" s="372"/>
    </row>
    <row r="9" spans="2:11" ht="13">
      <c r="B9" s="164"/>
      <c r="C9" s="165"/>
      <c r="D9" s="166">
        <f>C9</f>
        <v>0</v>
      </c>
      <c r="E9" s="167"/>
      <c r="F9" s="167"/>
      <c r="G9" s="167"/>
      <c r="H9" s="167"/>
      <c r="I9" s="168" t="s">
        <v>279</v>
      </c>
      <c r="J9" s="169" t="s">
        <v>280</v>
      </c>
      <c r="K9" s="170" t="s">
        <v>280</v>
      </c>
    </row>
    <row r="10" spans="2:11" ht="13">
      <c r="B10" s="171" t="s">
        <v>281</v>
      </c>
      <c r="C10" s="172" t="s">
        <v>272</v>
      </c>
      <c r="E10" s="174"/>
      <c r="F10" s="174"/>
      <c r="G10" s="174"/>
      <c r="H10" s="175"/>
    </row>
    <row r="11" spans="2:11" ht="13">
      <c r="B11" s="176" t="s">
        <v>282</v>
      </c>
      <c r="C11" s="177"/>
      <c r="D11" s="177"/>
      <c r="E11" s="177"/>
      <c r="F11" s="177"/>
      <c r="G11" s="177"/>
      <c r="H11" s="177"/>
      <c r="I11" s="177" t="s">
        <v>283</v>
      </c>
      <c r="J11" s="177"/>
      <c r="K11" s="178"/>
    </row>
    <row r="12" spans="2:11" ht="14">
      <c r="B12" s="179" t="s">
        <v>284</v>
      </c>
      <c r="C12" s="180"/>
      <c r="D12" s="180"/>
      <c r="E12" s="181"/>
      <c r="F12" s="181"/>
      <c r="G12" s="182" t="e">
        <f>(E12-F12)/F12*100</f>
        <v>#DIV/0!</v>
      </c>
      <c r="H12" s="183"/>
      <c r="I12" s="184" t="e">
        <f t="shared" ref="I12:I35" si="0">(C12-D12)/D12*100</f>
        <v>#DIV/0!</v>
      </c>
      <c r="J12" s="180" t="e">
        <f t="shared" ref="J12:K19" si="1">C12/$C$4</f>
        <v>#DIV/0!</v>
      </c>
      <c r="K12" s="180" t="e">
        <f t="shared" si="1"/>
        <v>#DIV/0!</v>
      </c>
    </row>
    <row r="13" spans="2:11" ht="14">
      <c r="B13" s="185" t="s">
        <v>285</v>
      </c>
      <c r="C13" s="186"/>
      <c r="D13" s="186"/>
      <c r="E13" s="187"/>
      <c r="F13" s="187">
        <v>0</v>
      </c>
      <c r="G13" s="182" t="e">
        <f>(E13-F13)/F13*100</f>
        <v>#DIV/0!</v>
      </c>
      <c r="H13" s="188"/>
      <c r="I13" s="184" t="e">
        <f t="shared" si="0"/>
        <v>#DIV/0!</v>
      </c>
      <c r="J13" s="186" t="e">
        <f t="shared" si="1"/>
        <v>#DIV/0!</v>
      </c>
      <c r="K13" s="186" t="e">
        <f t="shared" si="1"/>
        <v>#DIV/0!</v>
      </c>
    </row>
    <row r="14" spans="2:11" ht="14">
      <c r="B14" s="189" t="s">
        <v>286</v>
      </c>
      <c r="C14" s="190"/>
      <c r="D14" s="190"/>
      <c r="E14" s="187"/>
      <c r="F14" s="187"/>
      <c r="G14" s="182"/>
      <c r="H14" s="188"/>
      <c r="I14" s="184" t="e">
        <f t="shared" si="0"/>
        <v>#DIV/0!</v>
      </c>
      <c r="J14" s="190" t="e">
        <f t="shared" si="1"/>
        <v>#DIV/0!</v>
      </c>
      <c r="K14" s="190" t="e">
        <f t="shared" si="1"/>
        <v>#DIV/0!</v>
      </c>
    </row>
    <row r="15" spans="2:11" ht="14">
      <c r="B15" s="189" t="s">
        <v>287</v>
      </c>
      <c r="C15" s="190"/>
      <c r="D15" s="190"/>
      <c r="E15" s="187"/>
      <c r="F15" s="187"/>
      <c r="G15" s="182"/>
      <c r="H15" s="188"/>
      <c r="I15" s="184" t="e">
        <f t="shared" si="0"/>
        <v>#DIV/0!</v>
      </c>
      <c r="J15" s="190" t="e">
        <f t="shared" ref="J15:J17" si="2">C15/$C$4</f>
        <v>#DIV/0!</v>
      </c>
      <c r="K15" s="190" t="e">
        <f t="shared" ref="K15:K17" si="3">D15/$C$4</f>
        <v>#DIV/0!</v>
      </c>
    </row>
    <row r="16" spans="2:11" ht="14">
      <c r="B16" s="189" t="s">
        <v>288</v>
      </c>
      <c r="C16" s="190"/>
      <c r="D16" s="190"/>
      <c r="E16" s="187"/>
      <c r="F16" s="187"/>
      <c r="G16" s="182"/>
      <c r="H16" s="188"/>
      <c r="I16" s="184" t="e">
        <f t="shared" si="0"/>
        <v>#DIV/0!</v>
      </c>
      <c r="J16" s="190" t="e">
        <f t="shared" si="2"/>
        <v>#DIV/0!</v>
      </c>
      <c r="K16" s="190" t="e">
        <f t="shared" si="3"/>
        <v>#DIV/0!</v>
      </c>
    </row>
    <row r="17" spans="2:11" ht="14">
      <c r="B17" s="189" t="s">
        <v>483</v>
      </c>
      <c r="C17" s="190"/>
      <c r="D17" s="190"/>
      <c r="E17" s="187"/>
      <c r="F17" s="187"/>
      <c r="G17" s="182"/>
      <c r="H17" s="188"/>
      <c r="I17" s="184" t="e">
        <f t="shared" si="0"/>
        <v>#DIV/0!</v>
      </c>
      <c r="J17" s="190" t="e">
        <f t="shared" si="2"/>
        <v>#DIV/0!</v>
      </c>
      <c r="K17" s="190" t="e">
        <f t="shared" si="3"/>
        <v>#DIV/0!</v>
      </c>
    </row>
    <row r="18" spans="2:11" ht="14">
      <c r="B18" s="189" t="s">
        <v>289</v>
      </c>
      <c r="C18" s="190"/>
      <c r="D18" s="190"/>
      <c r="E18" s="187"/>
      <c r="F18" s="187"/>
      <c r="G18" s="182"/>
      <c r="H18" s="188"/>
      <c r="I18" s="184" t="e">
        <f t="shared" si="0"/>
        <v>#DIV/0!</v>
      </c>
      <c r="J18" s="190" t="e">
        <f t="shared" si="1"/>
        <v>#DIV/0!</v>
      </c>
      <c r="K18" s="190" t="e">
        <f t="shared" si="1"/>
        <v>#DIV/0!</v>
      </c>
    </row>
    <row r="19" spans="2:11" ht="14">
      <c r="B19" s="189" t="s">
        <v>290</v>
      </c>
      <c r="C19" s="190"/>
      <c r="D19" s="190"/>
      <c r="E19" s="187"/>
      <c r="F19" s="187"/>
      <c r="G19" s="182"/>
      <c r="H19" s="188"/>
      <c r="I19" s="184" t="e">
        <f t="shared" si="0"/>
        <v>#DIV/0!</v>
      </c>
      <c r="J19" s="190" t="e">
        <f t="shared" si="1"/>
        <v>#DIV/0!</v>
      </c>
      <c r="K19" s="190" t="e">
        <f t="shared" si="1"/>
        <v>#DIV/0!</v>
      </c>
    </row>
    <row r="20" spans="2:11" s="158" customFormat="1" ht="13">
      <c r="B20" s="191" t="s">
        <v>291</v>
      </c>
      <c r="C20" s="192">
        <f t="shared" ref="C20:H20" si="4">SUM(C12:C19)</f>
        <v>0</v>
      </c>
      <c r="D20" s="192">
        <f t="shared" si="4"/>
        <v>0</v>
      </c>
      <c r="E20" s="193">
        <f t="shared" si="4"/>
        <v>0</v>
      </c>
      <c r="F20" s="193">
        <f t="shared" si="4"/>
        <v>0</v>
      </c>
      <c r="G20" s="193" t="e">
        <f t="shared" si="4"/>
        <v>#DIV/0!</v>
      </c>
      <c r="H20" s="193">
        <f t="shared" si="4"/>
        <v>0</v>
      </c>
      <c r="I20" s="184" t="e">
        <f t="shared" si="0"/>
        <v>#DIV/0!</v>
      </c>
      <c r="J20" s="194" t="e">
        <f>SUM(J12:J19)</f>
        <v>#DIV/0!</v>
      </c>
      <c r="K20" s="194" t="e">
        <f>SUM(K12:K19)</f>
        <v>#DIV/0!</v>
      </c>
    </row>
    <row r="21" spans="2:11" ht="14">
      <c r="B21" s="195" t="s">
        <v>292</v>
      </c>
      <c r="C21" s="196"/>
      <c r="D21" s="196"/>
      <c r="E21" s="187"/>
      <c r="F21" s="187">
        <v>0</v>
      </c>
      <c r="G21" s="182" t="e">
        <f>(E21-F21)/F21*100</f>
        <v>#DIV/0!</v>
      </c>
      <c r="H21" s="197"/>
      <c r="I21" s="184" t="e">
        <f t="shared" si="0"/>
        <v>#DIV/0!</v>
      </c>
      <c r="J21" s="198" t="e">
        <f>C21/$C$4</f>
        <v>#DIV/0!</v>
      </c>
      <c r="K21" s="198" t="e">
        <f>D21/$C$4</f>
        <v>#DIV/0!</v>
      </c>
    </row>
    <row r="22" spans="2:11" ht="14">
      <c r="B22" s="189" t="s">
        <v>293</v>
      </c>
      <c r="C22" s="190"/>
      <c r="D22" s="190"/>
      <c r="E22" s="187"/>
      <c r="F22" s="187"/>
      <c r="G22" s="182"/>
      <c r="H22" s="197"/>
      <c r="I22" s="184" t="e">
        <f t="shared" si="0"/>
        <v>#DIV/0!</v>
      </c>
      <c r="J22" s="199" t="e">
        <f t="shared" ref="J22:K34" si="5">C22/$C$4</f>
        <v>#DIV/0!</v>
      </c>
      <c r="K22" s="199" t="e">
        <f t="shared" si="5"/>
        <v>#DIV/0!</v>
      </c>
    </row>
    <row r="23" spans="2:11" ht="14">
      <c r="B23" s="189" t="s">
        <v>294</v>
      </c>
      <c r="C23" s="190"/>
      <c r="D23" s="190"/>
      <c r="E23" s="187"/>
      <c r="F23" s="187"/>
      <c r="G23" s="182"/>
      <c r="H23" s="197"/>
      <c r="I23" s="184" t="e">
        <f t="shared" si="0"/>
        <v>#DIV/0!</v>
      </c>
      <c r="J23" s="199" t="e">
        <f t="shared" si="5"/>
        <v>#DIV/0!</v>
      </c>
      <c r="K23" s="199" t="e">
        <f t="shared" si="5"/>
        <v>#DIV/0!</v>
      </c>
    </row>
    <row r="24" spans="2:11" ht="14.5">
      <c r="B24" t="s">
        <v>484</v>
      </c>
      <c r="C24" s="190"/>
      <c r="D24" s="190"/>
      <c r="E24" s="187"/>
      <c r="F24" s="187"/>
      <c r="G24" s="182"/>
      <c r="H24" s="197"/>
      <c r="I24" s="184" t="e">
        <f t="shared" si="0"/>
        <v>#DIV/0!</v>
      </c>
      <c r="J24" s="199" t="e">
        <f t="shared" si="5"/>
        <v>#DIV/0!</v>
      </c>
      <c r="K24" s="199" t="e">
        <f t="shared" si="5"/>
        <v>#DIV/0!</v>
      </c>
    </row>
    <row r="25" spans="2:11" ht="14">
      <c r="B25" s="189" t="s">
        <v>295</v>
      </c>
      <c r="C25" s="190"/>
      <c r="D25" s="190"/>
      <c r="E25" s="187"/>
      <c r="F25" s="187"/>
      <c r="G25" s="182"/>
      <c r="H25" s="197"/>
      <c r="I25" s="184" t="e">
        <f t="shared" si="0"/>
        <v>#DIV/0!</v>
      </c>
      <c r="J25" s="199" t="e">
        <f t="shared" si="5"/>
        <v>#DIV/0!</v>
      </c>
      <c r="K25" s="199" t="e">
        <f t="shared" si="5"/>
        <v>#DIV/0!</v>
      </c>
    </row>
    <row r="26" spans="2:11" ht="14" hidden="1">
      <c r="B26" s="189" t="s">
        <v>296</v>
      </c>
      <c r="C26" s="190"/>
      <c r="D26" s="190"/>
      <c r="E26" s="187"/>
      <c r="F26" s="187"/>
      <c r="G26" s="182"/>
      <c r="H26" s="197"/>
      <c r="I26" s="184" t="e">
        <f t="shared" si="0"/>
        <v>#DIV/0!</v>
      </c>
      <c r="J26" s="199" t="e">
        <f t="shared" si="5"/>
        <v>#DIV/0!</v>
      </c>
      <c r="K26" s="199" t="e">
        <f t="shared" si="5"/>
        <v>#DIV/0!</v>
      </c>
    </row>
    <row r="27" spans="2:11" ht="14">
      <c r="B27" s="189" t="s">
        <v>297</v>
      </c>
      <c r="C27" s="190"/>
      <c r="D27" s="190"/>
      <c r="E27" s="187"/>
      <c r="F27" s="187"/>
      <c r="G27" s="182"/>
      <c r="H27" s="197"/>
      <c r="I27" s="184" t="e">
        <f t="shared" si="0"/>
        <v>#DIV/0!</v>
      </c>
      <c r="J27" s="199" t="e">
        <f t="shared" si="5"/>
        <v>#DIV/0!</v>
      </c>
      <c r="K27" s="199" t="e">
        <f t="shared" si="5"/>
        <v>#DIV/0!</v>
      </c>
    </row>
    <row r="28" spans="2:11" ht="14">
      <c r="B28" s="189" t="s">
        <v>483</v>
      </c>
      <c r="C28" s="190"/>
      <c r="D28" s="190"/>
      <c r="E28" s="187"/>
      <c r="F28" s="187"/>
      <c r="G28" s="182"/>
      <c r="H28" s="197"/>
      <c r="I28" s="184" t="e">
        <f t="shared" si="0"/>
        <v>#DIV/0!</v>
      </c>
      <c r="J28" s="199" t="e">
        <f t="shared" si="5"/>
        <v>#DIV/0!</v>
      </c>
      <c r="K28" s="199" t="e">
        <f t="shared" si="5"/>
        <v>#DIV/0!</v>
      </c>
    </row>
    <row r="29" spans="2:11" ht="14">
      <c r="B29" s="189" t="s">
        <v>298</v>
      </c>
      <c r="C29" s="190"/>
      <c r="D29" s="190"/>
      <c r="E29" s="187"/>
      <c r="F29" s="187"/>
      <c r="G29" s="182"/>
      <c r="H29" s="197"/>
      <c r="I29" s="184" t="e">
        <f t="shared" si="0"/>
        <v>#DIV/0!</v>
      </c>
      <c r="J29" s="199" t="e">
        <f t="shared" si="5"/>
        <v>#DIV/0!</v>
      </c>
      <c r="K29" s="199" t="e">
        <f t="shared" si="5"/>
        <v>#DIV/0!</v>
      </c>
    </row>
    <row r="30" spans="2:11" ht="14">
      <c r="B30" s="189" t="s">
        <v>482</v>
      </c>
      <c r="C30" s="190"/>
      <c r="D30" s="190"/>
      <c r="E30" s="187"/>
      <c r="F30" s="187"/>
      <c r="G30" s="182"/>
      <c r="H30" s="197"/>
      <c r="I30" s="184" t="e">
        <f t="shared" si="0"/>
        <v>#DIV/0!</v>
      </c>
      <c r="J30" s="199" t="e">
        <f t="shared" si="5"/>
        <v>#DIV/0!</v>
      </c>
      <c r="K30" s="199" t="e">
        <f t="shared" si="5"/>
        <v>#DIV/0!</v>
      </c>
    </row>
    <row r="31" spans="2:11" ht="14" hidden="1">
      <c r="B31" s="189"/>
      <c r="C31" s="190"/>
      <c r="D31" s="190"/>
      <c r="E31" s="187"/>
      <c r="F31" s="187"/>
      <c r="G31" s="182"/>
      <c r="H31" s="197"/>
      <c r="I31" s="184" t="e">
        <f t="shared" si="0"/>
        <v>#DIV/0!</v>
      </c>
      <c r="J31" s="199" t="e">
        <f t="shared" si="5"/>
        <v>#DIV/0!</v>
      </c>
      <c r="K31" s="199" t="e">
        <f t="shared" si="5"/>
        <v>#DIV/0!</v>
      </c>
    </row>
    <row r="32" spans="2:11" ht="14" hidden="1">
      <c r="B32" s="189"/>
      <c r="C32" s="190"/>
      <c r="D32" s="190"/>
      <c r="E32" s="187"/>
      <c r="F32" s="187"/>
      <c r="G32" s="182"/>
      <c r="H32" s="197"/>
      <c r="I32" s="184" t="e">
        <f t="shared" si="0"/>
        <v>#DIV/0!</v>
      </c>
      <c r="J32" s="199" t="e">
        <f t="shared" si="5"/>
        <v>#DIV/0!</v>
      </c>
      <c r="K32" s="199" t="e">
        <f t="shared" si="5"/>
        <v>#DIV/0!</v>
      </c>
    </row>
    <row r="33" spans="2:11" ht="14" hidden="1">
      <c r="B33" s="189"/>
      <c r="C33" s="190"/>
      <c r="D33" s="190"/>
      <c r="E33" s="187"/>
      <c r="F33" s="187"/>
      <c r="G33" s="182"/>
      <c r="H33" s="197"/>
      <c r="I33" s="184" t="e">
        <f t="shared" si="0"/>
        <v>#DIV/0!</v>
      </c>
      <c r="J33" s="199" t="e">
        <f t="shared" si="5"/>
        <v>#DIV/0!</v>
      </c>
      <c r="K33" s="199" t="e">
        <f t="shared" si="5"/>
        <v>#DIV/0!</v>
      </c>
    </row>
    <row r="34" spans="2:11" ht="14" hidden="1">
      <c r="B34" s="189"/>
      <c r="C34" s="190">
        <f>12867485-D35</f>
        <v>12867485</v>
      </c>
      <c r="D34" s="190"/>
      <c r="E34" s="187"/>
      <c r="F34" s="187">
        <v>0</v>
      </c>
      <c r="G34" s="182" t="e">
        <f>(E34-F34)/F34*100</f>
        <v>#DIV/0!</v>
      </c>
      <c r="H34" s="188"/>
      <c r="I34" s="184" t="e">
        <f t="shared" si="0"/>
        <v>#DIV/0!</v>
      </c>
      <c r="J34" s="199" t="e">
        <f t="shared" si="5"/>
        <v>#DIV/0!</v>
      </c>
      <c r="K34" s="199" t="e">
        <f t="shared" si="5"/>
        <v>#DIV/0!</v>
      </c>
    </row>
    <row r="35" spans="2:11" s="158" customFormat="1" ht="13">
      <c r="B35" s="191" t="s">
        <v>270</v>
      </c>
      <c r="C35" s="192">
        <f>SUM(C20:C30)</f>
        <v>0</v>
      </c>
      <c r="D35" s="192">
        <f>SUM(D20:D30)</f>
        <v>0</v>
      </c>
      <c r="E35" s="193">
        <f>SUM(E20:E34)</f>
        <v>0</v>
      </c>
      <c r="F35" s="200">
        <f>SUM(F20:F34)</f>
        <v>0</v>
      </c>
      <c r="G35" s="200" t="e">
        <f>SUM(G20:G34)</f>
        <v>#DIV/0!</v>
      </c>
      <c r="H35" s="200">
        <f>SUM(H20:H34)</f>
        <v>0</v>
      </c>
      <c r="I35" s="184" t="e">
        <f t="shared" si="0"/>
        <v>#DIV/0!</v>
      </c>
      <c r="J35" s="194" t="e">
        <f>SUM(J20:J34)</f>
        <v>#DIV/0!</v>
      </c>
      <c r="K35" s="194" t="e">
        <f>SUM(K20:K34)</f>
        <v>#DIV/0!</v>
      </c>
    </row>
    <row r="36" spans="2:11" ht="13">
      <c r="B36" s="201" t="s">
        <v>299</v>
      </c>
      <c r="C36" s="440">
        <f>SUM(C21:C30)</f>
        <v>0</v>
      </c>
      <c r="D36" s="203">
        <f>SUM(D21:D30)</f>
        <v>0</v>
      </c>
      <c r="E36" s="204"/>
      <c r="F36" s="204"/>
      <c r="G36" s="204"/>
      <c r="H36" s="204"/>
      <c r="I36" s="202"/>
    </row>
    <row r="37" spans="2:11" ht="13">
      <c r="B37" s="176" t="s">
        <v>300</v>
      </c>
      <c r="C37" s="177"/>
      <c r="D37" s="177"/>
      <c r="E37" s="177"/>
      <c r="F37" s="177"/>
      <c r="G37" s="177"/>
      <c r="H37" s="177"/>
      <c r="I37" s="205"/>
      <c r="J37" s="177"/>
      <c r="K37" s="178"/>
    </row>
    <row r="38" spans="2:11" ht="14">
      <c r="B38" s="206" t="s">
        <v>301</v>
      </c>
      <c r="C38" s="196"/>
      <c r="D38" s="196"/>
      <c r="E38" s="181"/>
      <c r="F38" s="207">
        <v>0</v>
      </c>
      <c r="G38" s="182" t="e">
        <f>(E38-F38)/F38*100</f>
        <v>#DIV/0!</v>
      </c>
      <c r="H38" s="183"/>
      <c r="I38" s="184" t="e">
        <f t="shared" ref="I38:I62" si="6">(C38-D38)/D38*100</f>
        <v>#DIV/0!</v>
      </c>
      <c r="J38" s="196" t="e">
        <f>C38/$C$4</f>
        <v>#DIV/0!</v>
      </c>
      <c r="K38" s="196" t="e">
        <f>D38/$C$4</f>
        <v>#DIV/0!</v>
      </c>
    </row>
    <row r="39" spans="2:11" ht="14" hidden="1">
      <c r="B39" s="197" t="s">
        <v>476</v>
      </c>
      <c r="C39" s="190"/>
      <c r="D39" s="190"/>
      <c r="E39" s="187"/>
      <c r="F39" s="208"/>
      <c r="G39" s="182"/>
      <c r="H39" s="188"/>
      <c r="I39" s="184" t="e">
        <f t="shared" si="6"/>
        <v>#DIV/0!</v>
      </c>
      <c r="J39" s="199" t="e">
        <f t="shared" ref="J39:J46" si="7">C39/$C$4</f>
        <v>#DIV/0!</v>
      </c>
      <c r="K39" s="199" t="e">
        <f t="shared" ref="K39:K46" si="8">D39/$C$4</f>
        <v>#DIV/0!</v>
      </c>
    </row>
    <row r="40" spans="2:11" ht="14">
      <c r="B40" s="197" t="s">
        <v>493</v>
      </c>
      <c r="C40" s="190"/>
      <c r="D40" s="190"/>
      <c r="E40" s="187"/>
      <c r="F40" s="208"/>
      <c r="G40" s="182"/>
      <c r="H40" s="188"/>
      <c r="I40" s="184" t="e">
        <f t="shared" si="6"/>
        <v>#DIV/0!</v>
      </c>
      <c r="J40" s="199" t="e">
        <f t="shared" si="7"/>
        <v>#DIV/0!</v>
      </c>
      <c r="K40" s="199" t="e">
        <f t="shared" si="8"/>
        <v>#DIV/0!</v>
      </c>
    </row>
    <row r="41" spans="2:11" ht="14">
      <c r="B41" s="197" t="s">
        <v>494</v>
      </c>
      <c r="C41" s="190"/>
      <c r="D41" s="190"/>
      <c r="E41" s="187"/>
      <c r="F41" s="208"/>
      <c r="G41" s="182"/>
      <c r="H41" s="188"/>
      <c r="I41" s="184" t="e">
        <f t="shared" si="6"/>
        <v>#DIV/0!</v>
      </c>
      <c r="J41" s="199" t="e">
        <f t="shared" si="7"/>
        <v>#DIV/0!</v>
      </c>
      <c r="K41" s="199" t="e">
        <f t="shared" si="8"/>
        <v>#DIV/0!</v>
      </c>
    </row>
    <row r="42" spans="2:11" s="436" customFormat="1" ht="25" hidden="1">
      <c r="B42" s="430" t="s">
        <v>479</v>
      </c>
      <c r="C42" s="431"/>
      <c r="D42" s="431"/>
      <c r="E42" s="432"/>
      <c r="F42" s="433"/>
      <c r="G42" s="434"/>
      <c r="H42" s="435"/>
      <c r="I42" s="184" t="e">
        <f t="shared" si="6"/>
        <v>#DIV/0!</v>
      </c>
      <c r="J42" s="199" t="e">
        <f>C42/$C$4</f>
        <v>#DIV/0!</v>
      </c>
      <c r="K42" s="199" t="e">
        <f t="shared" si="8"/>
        <v>#DIV/0!</v>
      </c>
    </row>
    <row r="43" spans="2:11" ht="14" hidden="1">
      <c r="B43" s="197" t="s">
        <v>478</v>
      </c>
      <c r="C43" s="190"/>
      <c r="D43" s="190"/>
      <c r="E43" s="187"/>
      <c r="F43" s="208"/>
      <c r="G43" s="182"/>
      <c r="H43" s="188"/>
      <c r="I43" s="184" t="e">
        <f t="shared" si="6"/>
        <v>#DIV/0!</v>
      </c>
      <c r="J43" s="199" t="e">
        <f t="shared" si="7"/>
        <v>#DIV/0!</v>
      </c>
      <c r="K43" s="199" t="e">
        <f t="shared" si="8"/>
        <v>#DIV/0!</v>
      </c>
    </row>
    <row r="44" spans="2:11" ht="14">
      <c r="B44" s="197" t="s">
        <v>475</v>
      </c>
      <c r="C44" s="190"/>
      <c r="D44" s="190"/>
      <c r="E44" s="187"/>
      <c r="F44" s="208"/>
      <c r="G44" s="182"/>
      <c r="H44" s="188"/>
      <c r="I44" s="184" t="e">
        <f t="shared" si="6"/>
        <v>#DIV/0!</v>
      </c>
      <c r="J44" s="199" t="e">
        <f t="shared" si="7"/>
        <v>#DIV/0!</v>
      </c>
      <c r="K44" s="199" t="e">
        <f t="shared" si="8"/>
        <v>#DIV/0!</v>
      </c>
    </row>
    <row r="45" spans="2:11" ht="14" hidden="1">
      <c r="B45" s="197" t="s">
        <v>477</v>
      </c>
      <c r="C45" s="190"/>
      <c r="D45" s="190"/>
      <c r="E45" s="187"/>
      <c r="F45" s="208"/>
      <c r="G45" s="182"/>
      <c r="H45" s="188"/>
      <c r="I45" s="184" t="e">
        <f t="shared" si="6"/>
        <v>#DIV/0!</v>
      </c>
      <c r="J45" s="199" t="e">
        <f t="shared" si="7"/>
        <v>#DIV/0!</v>
      </c>
      <c r="K45" s="199" t="e">
        <f t="shared" si="8"/>
        <v>#DIV/0!</v>
      </c>
    </row>
    <row r="46" spans="2:11" ht="14" hidden="1">
      <c r="B46" s="160" t="s">
        <v>307</v>
      </c>
      <c r="C46" s="190"/>
      <c r="D46" s="190"/>
      <c r="E46" s="187"/>
      <c r="F46" s="208"/>
      <c r="G46" s="182"/>
      <c r="H46" s="188"/>
      <c r="I46" s="184" t="e">
        <f t="shared" si="6"/>
        <v>#DIV/0!</v>
      </c>
      <c r="J46" s="199" t="e">
        <f t="shared" si="7"/>
        <v>#DIV/0!</v>
      </c>
      <c r="K46" s="199" t="e">
        <f t="shared" si="8"/>
        <v>#DIV/0!</v>
      </c>
    </row>
    <row r="47" spans="2:11" ht="14" hidden="1">
      <c r="B47" s="160" t="s">
        <v>480</v>
      </c>
      <c r="C47" s="190"/>
      <c r="D47" s="190"/>
      <c r="E47" s="187"/>
      <c r="F47" s="208"/>
      <c r="G47" s="182"/>
      <c r="H47" s="188"/>
      <c r="I47" s="184" t="e">
        <f t="shared" si="6"/>
        <v>#DIV/0!</v>
      </c>
      <c r="J47" s="190" t="e">
        <f>C47/$C$4</f>
        <v>#DIV/0!</v>
      </c>
      <c r="K47" s="190" t="e">
        <f>D47/$C$4</f>
        <v>#DIV/0!</v>
      </c>
    </row>
    <row r="48" spans="2:11" ht="14" hidden="1">
      <c r="B48" s="197"/>
      <c r="C48" s="190"/>
      <c r="D48" s="190"/>
      <c r="E48" s="187"/>
      <c r="F48" s="208"/>
      <c r="G48" s="182"/>
      <c r="H48" s="188"/>
      <c r="I48" s="184" t="e">
        <f t="shared" si="6"/>
        <v>#DIV/0!</v>
      </c>
      <c r="J48" s="190" t="e">
        <f>C48/$C$4</f>
        <v>#DIV/0!</v>
      </c>
      <c r="K48" s="190" t="e">
        <f>D48/$C$4</f>
        <v>#DIV/0!</v>
      </c>
    </row>
    <row r="49" spans="2:11" ht="14" hidden="1">
      <c r="B49" s="197" t="s">
        <v>302</v>
      </c>
      <c r="E49" s="187"/>
      <c r="F49" s="208"/>
      <c r="G49" s="182"/>
      <c r="H49" s="187"/>
      <c r="I49" s="184" t="e">
        <f t="shared" si="6"/>
        <v>#DIV/0!</v>
      </c>
      <c r="J49" s="190"/>
      <c r="K49" s="190"/>
    </row>
    <row r="50" spans="2:11" ht="14" hidden="1">
      <c r="B50" s="197" t="s">
        <v>303</v>
      </c>
      <c r="E50" s="187"/>
      <c r="F50" s="208"/>
      <c r="G50" s="182"/>
      <c r="H50" s="187"/>
      <c r="I50" s="184" t="e">
        <f t="shared" si="6"/>
        <v>#DIV/0!</v>
      </c>
      <c r="J50" s="190"/>
      <c r="K50" s="190"/>
    </row>
    <row r="51" spans="2:11" s="158" customFormat="1" ht="13">
      <c r="B51" s="209" t="s">
        <v>304</v>
      </c>
      <c r="C51" s="210">
        <f>SUM(C38:C50)</f>
        <v>0</v>
      </c>
      <c r="D51" s="210">
        <f>SUM(D38:D50)</f>
        <v>0</v>
      </c>
      <c r="E51" s="193">
        <f>SUM(E38:E48)</f>
        <v>0</v>
      </c>
      <c r="F51" s="193">
        <f>SUM(F38:F48)</f>
        <v>0</v>
      </c>
      <c r="G51" s="193" t="e">
        <f>SUM(G38:G48)</f>
        <v>#DIV/0!</v>
      </c>
      <c r="H51" s="193">
        <f>SUM(H38:H48)</f>
        <v>0</v>
      </c>
      <c r="I51" s="184" t="e">
        <f t="shared" si="6"/>
        <v>#DIV/0!</v>
      </c>
      <c r="J51" s="192" t="e">
        <f>SUM(J38:J48)</f>
        <v>#DIV/0!</v>
      </c>
      <c r="K51" s="192" t="e">
        <f>SUM(K38:K48)</f>
        <v>#DIV/0!</v>
      </c>
    </row>
    <row r="52" spans="2:11" ht="14">
      <c r="B52" s="195" t="s">
        <v>305</v>
      </c>
      <c r="C52" s="211"/>
      <c r="D52" s="211"/>
      <c r="E52" s="181"/>
      <c r="F52" s="207">
        <v>0</v>
      </c>
      <c r="G52" s="182" t="e">
        <f>(E52-F52)/F52*100</f>
        <v>#DIV/0!</v>
      </c>
      <c r="H52" s="183"/>
      <c r="I52" s="184" t="e">
        <f t="shared" si="6"/>
        <v>#DIV/0!</v>
      </c>
      <c r="J52" s="190" t="e">
        <f>C52/$C$4</f>
        <v>#DIV/0!</v>
      </c>
      <c r="K52" s="190" t="e">
        <f>D52/$C$4</f>
        <v>#DIV/0!</v>
      </c>
    </row>
    <row r="53" spans="2:11" ht="14" hidden="1">
      <c r="B53" s="189" t="s">
        <v>306</v>
      </c>
      <c r="C53" s="212"/>
      <c r="D53" s="212"/>
      <c r="E53" s="187"/>
      <c r="F53" s="208"/>
      <c r="G53" s="182"/>
      <c r="H53" s="188"/>
      <c r="I53" s="184" t="e">
        <f t="shared" si="6"/>
        <v>#DIV/0!</v>
      </c>
      <c r="J53" s="199" t="e">
        <f t="shared" ref="J53:J59" si="9">C53/$C$4</f>
        <v>#DIV/0!</v>
      </c>
      <c r="K53" s="199" t="e">
        <f t="shared" ref="K53:K59" si="10">D53/$C$4</f>
        <v>#DIV/0!</v>
      </c>
    </row>
    <row r="54" spans="2:11" ht="14">
      <c r="B54" s="189" t="s">
        <v>475</v>
      </c>
      <c r="C54" s="212"/>
      <c r="D54" s="212"/>
      <c r="E54" s="187"/>
      <c r="F54" s="208"/>
      <c r="G54" s="182"/>
      <c r="H54" s="188"/>
      <c r="I54" s="184" t="e">
        <f t="shared" si="6"/>
        <v>#DIV/0!</v>
      </c>
      <c r="J54" s="199" t="e">
        <f t="shared" si="9"/>
        <v>#DIV/0!</v>
      </c>
      <c r="K54" s="199" t="e">
        <f t="shared" si="10"/>
        <v>#DIV/0!</v>
      </c>
    </row>
    <row r="55" spans="2:11" ht="14">
      <c r="B55" s="189" t="s">
        <v>490</v>
      </c>
      <c r="C55" s="212"/>
      <c r="D55" s="212"/>
      <c r="E55" s="187"/>
      <c r="F55" s="208"/>
      <c r="G55" s="182"/>
      <c r="H55" s="188"/>
      <c r="I55" s="184" t="e">
        <f t="shared" si="6"/>
        <v>#DIV/0!</v>
      </c>
      <c r="J55" s="199" t="e">
        <f t="shared" si="9"/>
        <v>#DIV/0!</v>
      </c>
      <c r="K55" s="199" t="e">
        <f t="shared" si="10"/>
        <v>#DIV/0!</v>
      </c>
    </row>
    <row r="56" spans="2:11" ht="14.5">
      <c r="B56" s="189" t="s">
        <v>489</v>
      </c>
      <c r="C56" s="212"/>
      <c r="D56" s="439"/>
      <c r="E56" s="187"/>
      <c r="F56" s="208"/>
      <c r="G56" s="182"/>
      <c r="H56" s="188"/>
      <c r="I56" s="184" t="e">
        <f t="shared" si="6"/>
        <v>#DIV/0!</v>
      </c>
      <c r="J56" s="199" t="e">
        <f t="shared" si="9"/>
        <v>#DIV/0!</v>
      </c>
      <c r="K56" s="199" t="e">
        <f t="shared" si="10"/>
        <v>#DIV/0!</v>
      </c>
    </row>
    <row r="57" spans="2:11" ht="14">
      <c r="B57" s="189" t="s">
        <v>491</v>
      </c>
      <c r="C57" s="212"/>
      <c r="D57" s="212"/>
      <c r="E57" s="187"/>
      <c r="F57" s="208"/>
      <c r="G57" s="182"/>
      <c r="H57" s="188"/>
      <c r="I57" s="184" t="e">
        <f t="shared" si="6"/>
        <v>#DIV/0!</v>
      </c>
      <c r="J57" s="199" t="e">
        <f t="shared" si="9"/>
        <v>#DIV/0!</v>
      </c>
      <c r="K57" s="199" t="e">
        <f t="shared" si="10"/>
        <v>#DIV/0!</v>
      </c>
    </row>
    <row r="58" spans="2:11" ht="14">
      <c r="B58" s="189" t="s">
        <v>492</v>
      </c>
      <c r="C58" s="212"/>
      <c r="D58" s="212"/>
      <c r="E58" s="187"/>
      <c r="F58" s="208"/>
      <c r="G58" s="182"/>
      <c r="H58" s="188"/>
      <c r="I58" s="184" t="e">
        <f t="shared" si="6"/>
        <v>#DIV/0!</v>
      </c>
      <c r="J58" s="199" t="e">
        <f t="shared" si="9"/>
        <v>#DIV/0!</v>
      </c>
      <c r="K58" s="199" t="e">
        <f t="shared" si="10"/>
        <v>#DIV/0!</v>
      </c>
    </row>
    <row r="59" spans="2:11" ht="14">
      <c r="B59" s="189" t="s">
        <v>302</v>
      </c>
      <c r="C59" s="212"/>
      <c r="D59" s="212"/>
      <c r="E59" s="187"/>
      <c r="F59" s="208"/>
      <c r="G59" s="182"/>
      <c r="H59" s="188"/>
      <c r="I59" s="184" t="e">
        <f t="shared" si="6"/>
        <v>#DIV/0!</v>
      </c>
      <c r="J59" s="199" t="e">
        <f t="shared" si="9"/>
        <v>#DIV/0!</v>
      </c>
      <c r="K59" s="199" t="e">
        <f t="shared" si="10"/>
        <v>#DIV/0!</v>
      </c>
    </row>
    <row r="60" spans="2:11" ht="14" hidden="1">
      <c r="B60" s="373" t="s">
        <v>478</v>
      </c>
      <c r="C60" s="374"/>
      <c r="D60" s="374"/>
      <c r="E60" s="375"/>
      <c r="F60" s="376"/>
      <c r="G60" s="182" t="e">
        <f>(E60-F60)/F60*100</f>
        <v>#DIV/0!</v>
      </c>
      <c r="H60" s="377"/>
      <c r="I60" s="184" t="e">
        <f t="shared" si="6"/>
        <v>#DIV/0!</v>
      </c>
      <c r="J60" s="190" t="e">
        <f>C60/$C$4</f>
        <v>#DIV/0!</v>
      </c>
      <c r="K60" s="190" t="e">
        <f>D60/$C$4</f>
        <v>#DIV/0!</v>
      </c>
    </row>
    <row r="61" spans="2:11" s="158" customFormat="1" ht="13">
      <c r="B61" s="191" t="s">
        <v>308</v>
      </c>
      <c r="C61" s="378">
        <f t="shared" ref="C61:H61" si="11">SUM(C51:C60)</f>
        <v>0</v>
      </c>
      <c r="D61" s="378">
        <f t="shared" si="11"/>
        <v>0</v>
      </c>
      <c r="E61" s="213">
        <f t="shared" si="11"/>
        <v>0</v>
      </c>
      <c r="F61" s="213">
        <f t="shared" si="11"/>
        <v>0</v>
      </c>
      <c r="G61" s="213" t="e">
        <f t="shared" si="11"/>
        <v>#DIV/0!</v>
      </c>
      <c r="H61" s="213">
        <f t="shared" si="11"/>
        <v>0</v>
      </c>
      <c r="I61" s="214" t="e">
        <f>C61/D61-1</f>
        <v>#DIV/0!</v>
      </c>
      <c r="J61" s="194" t="e">
        <f>SUM(J51:J60)</f>
        <v>#DIV/0!</v>
      </c>
      <c r="K61" s="194" t="e">
        <f>SUM(K51:K60)</f>
        <v>#DIV/0!</v>
      </c>
    </row>
    <row r="62" spans="2:11" ht="13">
      <c r="B62" s="201" t="s">
        <v>309</v>
      </c>
      <c r="C62" s="215">
        <f>C61-C51</f>
        <v>0</v>
      </c>
      <c r="D62" s="215">
        <f>D61-D51</f>
        <v>0</v>
      </c>
      <c r="E62" s="216"/>
      <c r="F62" s="216"/>
      <c r="G62" s="216"/>
      <c r="H62" s="216"/>
      <c r="I62" s="217" t="e">
        <f t="shared" si="6"/>
        <v>#DIV/0!</v>
      </c>
    </row>
    <row r="63" spans="2:11" s="223" customFormat="1" ht="13">
      <c r="B63" s="218" t="s">
        <v>310</v>
      </c>
      <c r="C63" s="219"/>
      <c r="D63" s="219"/>
      <c r="E63" s="219"/>
      <c r="F63" s="219"/>
      <c r="G63" s="219"/>
      <c r="H63" s="219"/>
      <c r="I63" s="220"/>
      <c r="J63" s="221"/>
      <c r="K63" s="222"/>
    </row>
    <row r="64" spans="2:11" ht="14">
      <c r="B64" s="185" t="s">
        <v>311</v>
      </c>
      <c r="C64" s="224"/>
      <c r="D64" s="224"/>
      <c r="E64" s="187">
        <v>0</v>
      </c>
      <c r="F64" s="208">
        <v>0</v>
      </c>
      <c r="G64" s="182" t="e">
        <f>(E64-F64)/F64*100</f>
        <v>#DIV/0!</v>
      </c>
      <c r="H64" s="188"/>
      <c r="I64" s="184" t="e">
        <f>(C64-D64)/D64*100</f>
        <v>#DIV/0!</v>
      </c>
      <c r="J64" s="225" t="e">
        <f t="shared" ref="J64:K71" si="12">C64/$C$4</f>
        <v>#DIV/0!</v>
      </c>
      <c r="K64" s="226" t="e">
        <f t="shared" si="12"/>
        <v>#DIV/0!</v>
      </c>
    </row>
    <row r="65" spans="2:11" ht="14">
      <c r="B65" s="189" t="s">
        <v>487</v>
      </c>
      <c r="C65" s="212"/>
      <c r="D65" s="212"/>
      <c r="E65" s="187"/>
      <c r="F65" s="208"/>
      <c r="G65" s="182"/>
      <c r="H65" s="188">
        <v>272770</v>
      </c>
      <c r="I65" s="184" t="e">
        <f t="shared" ref="I65:I72" si="13">(C65-D65)/D65*100</f>
        <v>#DIV/0!</v>
      </c>
      <c r="J65" s="212" t="e">
        <f t="shared" si="12"/>
        <v>#DIV/0!</v>
      </c>
      <c r="K65" s="227" t="e">
        <f t="shared" si="12"/>
        <v>#DIV/0!</v>
      </c>
    </row>
    <row r="66" spans="2:11" ht="14">
      <c r="B66" s="189" t="s">
        <v>485</v>
      </c>
      <c r="C66" s="212"/>
      <c r="D66" s="212"/>
      <c r="E66" s="187"/>
      <c r="F66" s="208"/>
      <c r="G66" s="182"/>
      <c r="H66" s="188"/>
      <c r="I66" s="184" t="e">
        <f t="shared" si="13"/>
        <v>#DIV/0!</v>
      </c>
      <c r="J66" s="212" t="e">
        <f t="shared" si="12"/>
        <v>#DIV/0!</v>
      </c>
      <c r="K66" s="227" t="e">
        <f t="shared" si="12"/>
        <v>#DIV/0!</v>
      </c>
    </row>
    <row r="67" spans="2:11" ht="14">
      <c r="B67" s="189" t="s">
        <v>473</v>
      </c>
      <c r="C67" s="212"/>
      <c r="D67" s="212"/>
      <c r="E67" s="187"/>
      <c r="F67" s="208"/>
      <c r="G67" s="182"/>
      <c r="H67" s="188"/>
      <c r="I67" s="184" t="e">
        <f t="shared" si="13"/>
        <v>#DIV/0!</v>
      </c>
      <c r="J67" s="199" t="e">
        <f t="shared" si="12"/>
        <v>#DIV/0!</v>
      </c>
      <c r="K67" s="199" t="e">
        <f t="shared" si="12"/>
        <v>#DIV/0!</v>
      </c>
    </row>
    <row r="68" spans="2:11" ht="14">
      <c r="B68" s="189" t="s">
        <v>486</v>
      </c>
      <c r="C68" s="441"/>
      <c r="D68" s="441"/>
      <c r="E68" s="187"/>
      <c r="F68" s="208"/>
      <c r="G68" s="182"/>
      <c r="H68" s="442"/>
      <c r="I68" s="184"/>
      <c r="J68" s="199"/>
      <c r="K68" s="199"/>
    </row>
    <row r="69" spans="2:11" ht="14">
      <c r="B69" s="189" t="s">
        <v>472</v>
      </c>
      <c r="C69" s="212"/>
      <c r="D69" s="212"/>
      <c r="E69" s="187"/>
      <c r="F69" s="208"/>
      <c r="G69" s="182"/>
      <c r="H69" s="188"/>
      <c r="I69" s="184" t="e">
        <f t="shared" si="13"/>
        <v>#DIV/0!</v>
      </c>
      <c r="J69" s="199" t="e">
        <f t="shared" si="12"/>
        <v>#DIV/0!</v>
      </c>
      <c r="K69" s="199" t="e">
        <f t="shared" si="12"/>
        <v>#DIV/0!</v>
      </c>
    </row>
    <row r="70" spans="2:11" ht="14">
      <c r="B70" s="189" t="s">
        <v>488</v>
      </c>
      <c r="C70" s="212"/>
      <c r="D70" s="212"/>
      <c r="E70" s="187"/>
      <c r="F70" s="208"/>
      <c r="G70" s="182"/>
      <c r="H70" s="188"/>
      <c r="I70" s="184" t="e">
        <f t="shared" si="13"/>
        <v>#DIV/0!</v>
      </c>
      <c r="J70" s="199" t="e">
        <f t="shared" si="12"/>
        <v>#DIV/0!</v>
      </c>
      <c r="K70" s="199" t="e">
        <f t="shared" si="12"/>
        <v>#DIV/0!</v>
      </c>
    </row>
    <row r="71" spans="2:11" ht="14">
      <c r="B71" s="189" t="s">
        <v>474</v>
      </c>
      <c r="C71" s="212"/>
      <c r="D71" s="212"/>
      <c r="E71" s="187"/>
      <c r="F71" s="208"/>
      <c r="G71" s="182"/>
      <c r="H71" s="188"/>
      <c r="I71" s="184" t="e">
        <f t="shared" si="13"/>
        <v>#DIV/0!</v>
      </c>
      <c r="J71" s="199" t="e">
        <f t="shared" si="12"/>
        <v>#DIV/0!</v>
      </c>
      <c r="K71" s="199" t="e">
        <f t="shared" si="12"/>
        <v>#DIV/0!</v>
      </c>
    </row>
    <row r="72" spans="2:11" s="158" customFormat="1" ht="13">
      <c r="B72" s="191" t="s">
        <v>312</v>
      </c>
      <c r="C72" s="228">
        <f>SUM(C64:C71)</f>
        <v>0</v>
      </c>
      <c r="D72" s="228">
        <f>SUM(D64:D71)</f>
        <v>0</v>
      </c>
      <c r="E72" s="193">
        <f t="shared" ref="E72:H72" si="14">SUM(E64:E70)</f>
        <v>0</v>
      </c>
      <c r="F72" s="200">
        <f t="shared" si="14"/>
        <v>0</v>
      </c>
      <c r="G72" s="200" t="e">
        <f t="shared" si="14"/>
        <v>#DIV/0!</v>
      </c>
      <c r="H72" s="200">
        <f t="shared" si="14"/>
        <v>272770</v>
      </c>
      <c r="I72" s="184" t="e">
        <f t="shared" si="13"/>
        <v>#DIV/0!</v>
      </c>
      <c r="J72" s="228" t="e">
        <f>SUM(J64:J70)</f>
        <v>#DIV/0!</v>
      </c>
      <c r="K72" s="210" t="e">
        <f>SUM(K64:K70)</f>
        <v>#DIV/0!</v>
      </c>
    </row>
    <row r="73" spans="2:11" s="158" customFormat="1" ht="13">
      <c r="B73" s="201" t="s">
        <v>313</v>
      </c>
      <c r="C73" s="229">
        <f>C64*C5</f>
        <v>0</v>
      </c>
      <c r="D73" s="215">
        <v>0</v>
      </c>
      <c r="E73" s="215"/>
      <c r="F73" s="215"/>
      <c r="G73" s="215"/>
      <c r="H73" s="215"/>
      <c r="I73" s="230"/>
      <c r="J73" s="231" t="e">
        <f>C73/C4</f>
        <v>#DIV/0!</v>
      </c>
      <c r="K73" s="229" t="e">
        <f>D73/C4</f>
        <v>#DIV/0!</v>
      </c>
    </row>
    <row r="74" spans="2:11" ht="13">
      <c r="B74" s="201"/>
      <c r="C74" s="203">
        <f>C61+C72</f>
        <v>0</v>
      </c>
      <c r="D74" s="203">
        <f>D61+D72</f>
        <v>0</v>
      </c>
      <c r="E74" s="204"/>
      <c r="F74" s="204"/>
      <c r="G74" s="204"/>
      <c r="H74" s="204"/>
      <c r="I74" s="232"/>
    </row>
    <row r="75" spans="2:11" s="223" customFormat="1" ht="13">
      <c r="B75" s="233" t="s">
        <v>314</v>
      </c>
      <c r="C75" s="219" t="s">
        <v>504</v>
      </c>
      <c r="D75" s="219" t="s">
        <v>505</v>
      </c>
      <c r="E75" s="219"/>
      <c r="F75" s="219"/>
      <c r="G75" s="219"/>
      <c r="H75" s="219"/>
      <c r="I75" s="220"/>
      <c r="J75" s="221"/>
      <c r="K75" s="222"/>
    </row>
    <row r="76" spans="2:11" s="158" customFormat="1" ht="14">
      <c r="B76" s="234" t="s">
        <v>315</v>
      </c>
      <c r="C76" s="235"/>
      <c r="D76" s="235"/>
      <c r="E76" s="236">
        <v>0</v>
      </c>
      <c r="F76" s="237">
        <v>0</v>
      </c>
      <c r="G76" s="238" t="e">
        <f>(E76-F76)/F76*100</f>
        <v>#DIV/0!</v>
      </c>
      <c r="H76" s="239"/>
      <c r="I76" s="240" t="e">
        <f t="shared" ref="I76:I95" si="15">(C76-D76)/D76*100</f>
        <v>#DIV/0!</v>
      </c>
      <c r="J76" s="235" t="e">
        <f>C76/$C$4</f>
        <v>#DIV/0!</v>
      </c>
      <c r="K76" s="241" t="e">
        <f>D76/$C$4</f>
        <v>#DIV/0!</v>
      </c>
    </row>
    <row r="77" spans="2:11" ht="14">
      <c r="B77" s="197" t="s">
        <v>316</v>
      </c>
      <c r="C77" s="190"/>
      <c r="D77" s="190"/>
      <c r="E77" s="187"/>
      <c r="F77" s="208"/>
      <c r="G77" s="182"/>
      <c r="H77" s="188"/>
      <c r="I77" s="240" t="e">
        <f t="shared" si="15"/>
        <v>#DIV/0!</v>
      </c>
      <c r="J77" s="212" t="e">
        <f t="shared" ref="J77:K94" si="16">C77/$C$4</f>
        <v>#DIV/0!</v>
      </c>
      <c r="K77" s="227" t="e">
        <f t="shared" si="16"/>
        <v>#DIV/0!</v>
      </c>
    </row>
    <row r="78" spans="2:11" ht="14" hidden="1">
      <c r="B78" s="197"/>
      <c r="C78" s="190"/>
      <c r="D78" s="190"/>
      <c r="E78" s="187"/>
      <c r="F78" s="208"/>
      <c r="G78" s="182"/>
      <c r="H78" s="188"/>
      <c r="I78" s="240" t="e">
        <f t="shared" si="15"/>
        <v>#DIV/0!</v>
      </c>
      <c r="J78" s="212"/>
      <c r="K78" s="227"/>
    </row>
    <row r="79" spans="2:11" ht="14" hidden="1">
      <c r="B79" s="197"/>
      <c r="C79" s="190"/>
      <c r="D79" s="190"/>
      <c r="E79" s="187"/>
      <c r="F79" s="208"/>
      <c r="G79" s="182"/>
      <c r="H79" s="188"/>
      <c r="I79" s="240" t="e">
        <f t="shared" si="15"/>
        <v>#DIV/0!</v>
      </c>
      <c r="J79" s="212"/>
      <c r="K79" s="227"/>
    </row>
    <row r="80" spans="2:11" ht="14">
      <c r="B80" s="242" t="s">
        <v>317</v>
      </c>
      <c r="C80" s="243">
        <f>SUM(C76:C79)</f>
        <v>0</v>
      </c>
      <c r="D80" s="243">
        <f>SUM(D76:D79)</f>
        <v>0</v>
      </c>
      <c r="E80" s="244"/>
      <c r="F80" s="245"/>
      <c r="G80" s="182"/>
      <c r="H80" s="246"/>
      <c r="I80" s="240" t="e">
        <f t="shared" si="15"/>
        <v>#DIV/0!</v>
      </c>
      <c r="J80" s="243" t="e">
        <f t="shared" si="16"/>
        <v>#DIV/0!</v>
      </c>
      <c r="K80" s="247" t="e">
        <f t="shared" si="16"/>
        <v>#DIV/0!</v>
      </c>
    </row>
    <row r="81" spans="2:12" ht="14">
      <c r="B81" s="197" t="s">
        <v>318</v>
      </c>
      <c r="C81" s="190"/>
      <c r="D81" s="190"/>
      <c r="E81" s="244">
        <v>0</v>
      </c>
      <c r="F81" s="245">
        <v>0</v>
      </c>
      <c r="G81" s="182" t="e">
        <f>(E81-F81)/F81*100</f>
        <v>#DIV/0!</v>
      </c>
      <c r="H81" s="246"/>
      <c r="I81" s="240" t="e">
        <f t="shared" si="15"/>
        <v>#DIV/0!</v>
      </c>
      <c r="J81" s="212" t="e">
        <f t="shared" si="16"/>
        <v>#DIV/0!</v>
      </c>
      <c r="K81" s="227" t="e">
        <f t="shared" si="16"/>
        <v>#DIV/0!</v>
      </c>
    </row>
    <row r="82" spans="2:12" ht="14">
      <c r="B82" s="197" t="s">
        <v>319</v>
      </c>
      <c r="C82" s="190"/>
      <c r="D82" s="190"/>
      <c r="E82" s="244"/>
      <c r="F82" s="245"/>
      <c r="G82" s="182"/>
      <c r="H82" s="246"/>
      <c r="I82" s="240" t="e">
        <f t="shared" si="15"/>
        <v>#DIV/0!</v>
      </c>
      <c r="J82" s="212" t="e">
        <f t="shared" ref="J82:J84" si="17">C82/$C$4</f>
        <v>#DIV/0!</v>
      </c>
      <c r="K82" s="227" t="e">
        <f t="shared" ref="K82:K84" si="18">D82/$C$4</f>
        <v>#DIV/0!</v>
      </c>
    </row>
    <row r="83" spans="2:12" ht="14">
      <c r="B83" s="189" t="s">
        <v>320</v>
      </c>
      <c r="C83" s="212"/>
      <c r="D83" s="190"/>
      <c r="E83" s="244"/>
      <c r="F83" s="245"/>
      <c r="G83" s="182"/>
      <c r="H83" s="246"/>
      <c r="I83" s="240" t="e">
        <f t="shared" si="15"/>
        <v>#DIV/0!</v>
      </c>
      <c r="J83" s="212" t="e">
        <f t="shared" si="17"/>
        <v>#DIV/0!</v>
      </c>
      <c r="K83" s="227" t="e">
        <f t="shared" si="18"/>
        <v>#DIV/0!</v>
      </c>
    </row>
    <row r="84" spans="2:12" ht="14">
      <c r="B84" s="197" t="s">
        <v>321</v>
      </c>
      <c r="C84" s="212"/>
      <c r="D84" s="190"/>
      <c r="E84" s="244"/>
      <c r="F84" s="245"/>
      <c r="G84" s="182"/>
      <c r="H84" s="246"/>
      <c r="I84" s="240" t="e">
        <f t="shared" si="15"/>
        <v>#DIV/0!</v>
      </c>
      <c r="J84" s="212" t="e">
        <f t="shared" si="17"/>
        <v>#DIV/0!</v>
      </c>
      <c r="K84" s="227" t="e">
        <f t="shared" si="18"/>
        <v>#DIV/0!</v>
      </c>
    </row>
    <row r="85" spans="2:12" ht="13">
      <c r="B85" s="242" t="s">
        <v>323</v>
      </c>
      <c r="C85" s="248">
        <f t="shared" ref="C85:H85" si="19">SUM(C80:C84)</f>
        <v>0</v>
      </c>
      <c r="D85" s="248">
        <f t="shared" si="19"/>
        <v>0</v>
      </c>
      <c r="E85" s="159">
        <f t="shared" si="19"/>
        <v>0</v>
      </c>
      <c r="F85" s="249">
        <f t="shared" si="19"/>
        <v>0</v>
      </c>
      <c r="G85" s="249" t="e">
        <f t="shared" si="19"/>
        <v>#DIV/0!</v>
      </c>
      <c r="H85" s="249">
        <f t="shared" si="19"/>
        <v>0</v>
      </c>
      <c r="I85" s="240" t="e">
        <f t="shared" si="15"/>
        <v>#DIV/0!</v>
      </c>
      <c r="J85" s="243" t="e">
        <f t="shared" si="16"/>
        <v>#DIV/0!</v>
      </c>
      <c r="K85" s="247" t="e">
        <f t="shared" si="16"/>
        <v>#DIV/0!</v>
      </c>
    </row>
    <row r="86" spans="2:12" ht="14">
      <c r="B86" s="189" t="s">
        <v>324</v>
      </c>
      <c r="C86" s="212"/>
      <c r="D86" s="190"/>
      <c r="E86" s="187"/>
      <c r="F86" s="208"/>
      <c r="G86" s="182"/>
      <c r="H86" s="188"/>
      <c r="I86" s="240" t="e">
        <f t="shared" si="15"/>
        <v>#DIV/0!</v>
      </c>
      <c r="J86" s="249" t="e">
        <f t="shared" si="16"/>
        <v>#DIV/0!</v>
      </c>
      <c r="K86" s="250" t="e">
        <f t="shared" si="16"/>
        <v>#DIV/0!</v>
      </c>
    </row>
    <row r="87" spans="2:12" ht="14">
      <c r="B87" s="189" t="s">
        <v>496</v>
      </c>
      <c r="C87" s="212"/>
      <c r="D87" s="190"/>
      <c r="E87" s="187"/>
      <c r="F87" s="208"/>
      <c r="G87" s="182"/>
      <c r="H87" s="188"/>
      <c r="I87" s="240" t="e">
        <f t="shared" si="15"/>
        <v>#DIV/0!</v>
      </c>
      <c r="J87" s="249" t="e">
        <f t="shared" si="16"/>
        <v>#DIV/0!</v>
      </c>
      <c r="K87" s="250" t="e">
        <f t="shared" si="16"/>
        <v>#DIV/0!</v>
      </c>
    </row>
    <row r="88" spans="2:12" s="158" customFormat="1" ht="14">
      <c r="B88" s="242" t="s">
        <v>497</v>
      </c>
      <c r="C88" s="243">
        <f>C86+C87</f>
        <v>0</v>
      </c>
      <c r="D88" s="248">
        <f>D86+D87</f>
        <v>0</v>
      </c>
      <c r="E88" s="244"/>
      <c r="F88" s="245"/>
      <c r="G88" s="238"/>
      <c r="H88" s="246"/>
      <c r="I88" s="240" t="e">
        <f t="shared" si="15"/>
        <v>#DIV/0!</v>
      </c>
      <c r="J88" s="243" t="e">
        <f t="shared" si="16"/>
        <v>#DIV/0!</v>
      </c>
      <c r="K88" s="247" t="e">
        <f t="shared" si="16"/>
        <v>#DIV/0!</v>
      </c>
    </row>
    <row r="89" spans="2:12" ht="14">
      <c r="B89" s="189" t="s">
        <v>498</v>
      </c>
      <c r="C89" s="212">
        <v>0</v>
      </c>
      <c r="D89" s="190"/>
      <c r="E89" s="187"/>
      <c r="F89" s="208"/>
      <c r="G89" s="182"/>
      <c r="H89" s="188"/>
      <c r="I89" s="240" t="e">
        <f t="shared" si="15"/>
        <v>#DIV/0!</v>
      </c>
      <c r="J89" s="212" t="e">
        <f t="shared" si="16"/>
        <v>#DIV/0!</v>
      </c>
      <c r="K89" s="227" t="e">
        <f t="shared" si="16"/>
        <v>#DIV/0!</v>
      </c>
    </row>
    <row r="90" spans="2:12" ht="21">
      <c r="B90" s="443" t="s">
        <v>495</v>
      </c>
      <c r="C90" s="212"/>
      <c r="D90" s="190"/>
      <c r="E90" s="244"/>
      <c r="F90" s="245"/>
      <c r="G90" s="182"/>
      <c r="H90" s="246"/>
      <c r="I90" s="240" t="e">
        <f>(C90-D90)/D90*100</f>
        <v>#DIV/0!</v>
      </c>
      <c r="J90" s="212" t="e">
        <f>C90/$C$4</f>
        <v>#DIV/0!</v>
      </c>
      <c r="K90" s="227" t="e">
        <f>D90/$C$4</f>
        <v>#DIV/0!</v>
      </c>
    </row>
    <row r="91" spans="2:12" ht="14">
      <c r="B91" s="197" t="s">
        <v>322</v>
      </c>
      <c r="C91" s="212"/>
      <c r="D91" s="190"/>
      <c r="E91" s="244"/>
      <c r="F91" s="245"/>
      <c r="G91" s="182"/>
      <c r="H91" s="246"/>
      <c r="I91" s="240" t="e">
        <f>(C91-D91)/D91*100</f>
        <v>#DIV/0!</v>
      </c>
      <c r="J91" s="212" t="e">
        <f>C91/$C$4</f>
        <v>#DIV/0!</v>
      </c>
      <c r="K91" s="227" t="e">
        <f>D91/$C$4</f>
        <v>#DIV/0!</v>
      </c>
    </row>
    <row r="92" spans="2:12" s="158" customFormat="1" ht="14">
      <c r="B92" s="242" t="s">
        <v>500</v>
      </c>
      <c r="C92" s="243">
        <f>C85+C88+C89+C90+C91</f>
        <v>0</v>
      </c>
      <c r="D92" s="243">
        <f>D85+D88+D89+D90+D91</f>
        <v>0</v>
      </c>
      <c r="E92" s="244"/>
      <c r="F92" s="245"/>
      <c r="G92" s="238"/>
      <c r="H92" s="246"/>
      <c r="I92" s="240" t="e">
        <f t="shared" si="15"/>
        <v>#DIV/0!</v>
      </c>
      <c r="J92" s="249" t="e">
        <f t="shared" si="16"/>
        <v>#DIV/0!</v>
      </c>
      <c r="K92" s="250" t="e">
        <f t="shared" si="16"/>
        <v>#DIV/0!</v>
      </c>
      <c r="L92" s="251"/>
    </row>
    <row r="93" spans="2:12" ht="14">
      <c r="B93" s="189" t="s">
        <v>499</v>
      </c>
      <c r="C93" s="212"/>
      <c r="D93" s="190"/>
      <c r="E93" s="187"/>
      <c r="F93" s="208"/>
      <c r="G93" s="182"/>
      <c r="H93" s="188"/>
      <c r="I93" s="240" t="e">
        <f t="shared" si="15"/>
        <v>#DIV/0!</v>
      </c>
      <c r="J93" s="212" t="e">
        <f t="shared" si="16"/>
        <v>#DIV/0!</v>
      </c>
      <c r="K93" s="227" t="e">
        <f t="shared" si="16"/>
        <v>#DIV/0!</v>
      </c>
    </row>
    <row r="94" spans="2:12" ht="14">
      <c r="B94" s="189" t="s">
        <v>506</v>
      </c>
      <c r="C94" s="441"/>
      <c r="D94" s="190"/>
      <c r="E94" s="187"/>
      <c r="F94" s="208"/>
      <c r="G94" s="182"/>
      <c r="H94" s="442"/>
      <c r="I94" s="240" t="e">
        <f t="shared" si="15"/>
        <v>#DIV/0!</v>
      </c>
      <c r="J94" s="441" t="e">
        <f t="shared" si="16"/>
        <v>#DIV/0!</v>
      </c>
      <c r="K94" s="227" t="e">
        <f t="shared" si="16"/>
        <v>#DIV/0!</v>
      </c>
    </row>
    <row r="95" spans="2:12" ht="13">
      <c r="B95" s="191" t="s">
        <v>325</v>
      </c>
      <c r="C95" s="192">
        <f>SUM(C92:C94)</f>
        <v>0</v>
      </c>
      <c r="D95" s="192">
        <f>SUM(D92:D94)</f>
        <v>0</v>
      </c>
      <c r="E95" s="193">
        <f>SUM(E92:E93)</f>
        <v>0</v>
      </c>
      <c r="F95" s="200">
        <f>SUM(F92:F93)</f>
        <v>0</v>
      </c>
      <c r="G95" s="200">
        <f>SUM(G92:G93)</f>
        <v>0</v>
      </c>
      <c r="H95" s="200">
        <f>SUM(H92:H93)</f>
        <v>0</v>
      </c>
      <c r="I95" s="240" t="e">
        <f t="shared" si="15"/>
        <v>#DIV/0!</v>
      </c>
      <c r="J95" s="252" t="e">
        <f>SUM(J76:J94)</f>
        <v>#DIV/0!</v>
      </c>
      <c r="K95" s="253" t="e">
        <f>SUM(K76:K94)</f>
        <v>#DIV/0!</v>
      </c>
    </row>
    <row r="96" spans="2:12" ht="13">
      <c r="B96" s="379" t="s">
        <v>501</v>
      </c>
      <c r="C96" s="380"/>
      <c r="D96" s="380"/>
      <c r="E96" s="381"/>
      <c r="F96" s="381"/>
      <c r="G96" s="382"/>
      <c r="H96" s="381"/>
      <c r="I96" s="445" t="e">
        <f t="shared" ref="I96" si="20">(C96-D96)/D96*100</f>
        <v>#DIV/0!</v>
      </c>
      <c r="J96" s="444" t="e">
        <f t="shared" ref="J96" si="21">C96/$C$4</f>
        <v>#DIV/0!</v>
      </c>
      <c r="K96" s="444" t="e">
        <f t="shared" ref="K96" si="22">D96/$C$4</f>
        <v>#DIV/0!</v>
      </c>
    </row>
    <row r="97" spans="2:13" ht="13">
      <c r="B97" s="233" t="s">
        <v>326</v>
      </c>
      <c r="C97" s="254" t="s">
        <v>502</v>
      </c>
      <c r="D97" s="255" t="s">
        <v>503</v>
      </c>
      <c r="E97" s="177"/>
      <c r="F97" s="177"/>
      <c r="G97" s="177"/>
      <c r="H97" s="177"/>
      <c r="I97" s="173"/>
    </row>
    <row r="98" spans="2:13" s="158" customFormat="1" ht="13">
      <c r="B98" s="164" t="s">
        <v>327</v>
      </c>
      <c r="C98" s="249"/>
      <c r="D98" s="256"/>
      <c r="F98" s="257"/>
      <c r="G98" s="258"/>
      <c r="H98" s="164"/>
    </row>
    <row r="99" spans="2:13">
      <c r="B99" s="197" t="s">
        <v>328</v>
      </c>
      <c r="C99" s="437" t="e">
        <f t="shared" ref="C99:H99" si="23">C80/C76</f>
        <v>#DIV/0!</v>
      </c>
      <c r="D99" s="438" t="e">
        <f t="shared" si="23"/>
        <v>#DIV/0!</v>
      </c>
      <c r="E99" s="261" t="e">
        <f t="shared" si="23"/>
        <v>#DIV/0!</v>
      </c>
      <c r="F99" s="259" t="e">
        <f t="shared" si="23"/>
        <v>#DIV/0!</v>
      </c>
      <c r="G99" s="259" t="e">
        <f t="shared" si="23"/>
        <v>#DIV/0!</v>
      </c>
      <c r="H99" s="259" t="e">
        <f t="shared" si="23"/>
        <v>#DIV/0!</v>
      </c>
      <c r="M99" s="446"/>
    </row>
    <row r="100" spans="2:13">
      <c r="B100" s="197" t="s">
        <v>329</v>
      </c>
      <c r="C100" s="437" t="e">
        <f t="shared" ref="C100:H100" si="24">C95/C76</f>
        <v>#DIV/0!</v>
      </c>
      <c r="D100" s="438" t="e">
        <f t="shared" si="24"/>
        <v>#DIV/0!</v>
      </c>
      <c r="E100" s="262" t="e">
        <f t="shared" si="24"/>
        <v>#DIV/0!</v>
      </c>
      <c r="F100" s="260" t="e">
        <f t="shared" si="24"/>
        <v>#DIV/0!</v>
      </c>
      <c r="G100" s="260" t="e">
        <f t="shared" si="24"/>
        <v>#DIV/0!</v>
      </c>
      <c r="H100" s="260" t="e">
        <f t="shared" si="24"/>
        <v>#DIV/0!</v>
      </c>
      <c r="K100" s="263"/>
    </row>
    <row r="101" spans="2:13">
      <c r="B101" s="197" t="s">
        <v>330</v>
      </c>
      <c r="C101" s="437" t="e">
        <f>C92/C35</f>
        <v>#DIV/0!</v>
      </c>
      <c r="D101" s="438" t="e">
        <f>D92/D35</f>
        <v>#DIV/0!</v>
      </c>
      <c r="E101" s="261"/>
      <c r="F101" s="262"/>
      <c r="G101" s="261"/>
      <c r="H101" s="259"/>
      <c r="K101" s="263"/>
    </row>
    <row r="102" spans="2:13">
      <c r="B102" s="197" t="s">
        <v>331</v>
      </c>
      <c r="C102" s="437" t="e">
        <f>C95/C72</f>
        <v>#DIV/0!</v>
      </c>
      <c r="D102" s="438" t="e">
        <f>D95/D72</f>
        <v>#DIV/0!</v>
      </c>
      <c r="E102" s="261"/>
      <c r="F102" s="262"/>
      <c r="G102" s="261"/>
      <c r="H102" s="259"/>
      <c r="K102" s="263"/>
    </row>
    <row r="103" spans="2:13" s="158" customFormat="1" ht="13">
      <c r="B103" s="164" t="s">
        <v>332</v>
      </c>
      <c r="C103" s="264"/>
      <c r="D103" s="265"/>
      <c r="F103" s="257"/>
      <c r="G103" s="258"/>
      <c r="H103" s="164"/>
      <c r="J103" s="160"/>
      <c r="K103" s="266"/>
    </row>
    <row r="104" spans="2:13">
      <c r="B104" s="197" t="s">
        <v>333</v>
      </c>
      <c r="C104" s="267" t="e">
        <f t="shared" ref="C104:H104" si="25">C20/C51</f>
        <v>#DIV/0!</v>
      </c>
      <c r="D104" s="267" t="e">
        <f t="shared" si="25"/>
        <v>#DIV/0!</v>
      </c>
      <c r="E104" s="268" t="e">
        <f t="shared" si="25"/>
        <v>#DIV/0!</v>
      </c>
      <c r="F104" s="267" t="e">
        <f t="shared" si="25"/>
        <v>#DIV/0!</v>
      </c>
      <c r="G104" s="267" t="e">
        <f t="shared" si="25"/>
        <v>#DIV/0!</v>
      </c>
      <c r="H104" s="267" t="e">
        <f t="shared" si="25"/>
        <v>#DIV/0!</v>
      </c>
    </row>
    <row r="105" spans="2:13">
      <c r="B105" s="197" t="s">
        <v>334</v>
      </c>
      <c r="C105" s="267" t="e">
        <f t="shared" ref="C105:H105" si="26">(C20-C13)/C51</f>
        <v>#DIV/0!</v>
      </c>
      <c r="D105" s="267" t="e">
        <f t="shared" si="26"/>
        <v>#DIV/0!</v>
      </c>
      <c r="E105" s="268" t="e">
        <f t="shared" si="26"/>
        <v>#DIV/0!</v>
      </c>
      <c r="F105" s="267" t="e">
        <f t="shared" si="26"/>
        <v>#DIV/0!</v>
      </c>
      <c r="G105" s="267" t="e">
        <f t="shared" si="26"/>
        <v>#DIV/0!</v>
      </c>
      <c r="H105" s="267" t="e">
        <f t="shared" si="26"/>
        <v>#DIV/0!</v>
      </c>
    </row>
    <row r="106" spans="2:13">
      <c r="B106" s="197" t="s">
        <v>335</v>
      </c>
      <c r="C106" s="267" t="e">
        <f t="shared" ref="C106:H106" si="27">-C85/C88</f>
        <v>#DIV/0!</v>
      </c>
      <c r="D106" s="267" t="e">
        <f t="shared" si="27"/>
        <v>#DIV/0!</v>
      </c>
      <c r="E106" s="268" t="e">
        <f t="shared" si="27"/>
        <v>#DIV/0!</v>
      </c>
      <c r="F106" s="267" t="e">
        <f t="shared" si="27"/>
        <v>#DIV/0!</v>
      </c>
      <c r="G106" s="267" t="e">
        <f t="shared" si="27"/>
        <v>#DIV/0!</v>
      </c>
      <c r="H106" s="267" t="e">
        <f t="shared" si="27"/>
        <v>#DIV/0!</v>
      </c>
    </row>
    <row r="107" spans="2:13" s="158" customFormat="1" ht="13">
      <c r="B107" s="164" t="s">
        <v>336</v>
      </c>
      <c r="C107" s="269"/>
      <c r="D107" s="270"/>
      <c r="E107" s="271"/>
      <c r="F107" s="271"/>
      <c r="G107" s="271"/>
      <c r="H107" s="269"/>
    </row>
    <row r="108" spans="2:13">
      <c r="B108" s="197" t="s">
        <v>337</v>
      </c>
      <c r="C108" s="272" t="e">
        <f t="shared" ref="C108:H108" si="28">C95/C64*10</f>
        <v>#DIV/0!</v>
      </c>
      <c r="D108" s="267" t="e">
        <f t="shared" si="28"/>
        <v>#DIV/0!</v>
      </c>
      <c r="E108" s="273" t="e">
        <f t="shared" si="28"/>
        <v>#DIV/0!</v>
      </c>
      <c r="F108" s="272" t="e">
        <f t="shared" si="28"/>
        <v>#DIV/0!</v>
      </c>
      <c r="G108" s="272" t="e">
        <f t="shared" si="28"/>
        <v>#DIV/0!</v>
      </c>
      <c r="H108" s="272" t="e">
        <f t="shared" si="28"/>
        <v>#DIV/0!</v>
      </c>
    </row>
    <row r="109" spans="2:13">
      <c r="B109" s="197" t="s">
        <v>338</v>
      </c>
      <c r="C109" s="274" t="e">
        <f>C5/C108*100</f>
        <v>#DIV/0!</v>
      </c>
      <c r="D109" s="275" t="e">
        <f>D5/D108*100</f>
        <v>#DIV/0!</v>
      </c>
      <c r="E109" s="273" t="e">
        <f>8.4/E108</f>
        <v>#DIV/0!</v>
      </c>
      <c r="F109" s="272" t="e">
        <f>8.4/F108</f>
        <v>#DIV/0!</v>
      </c>
      <c r="G109" s="272" t="e">
        <f>8.4/G108</f>
        <v>#DIV/0!</v>
      </c>
      <c r="H109" s="272" t="e">
        <f>8.4/H108</f>
        <v>#DIV/0!</v>
      </c>
    </row>
    <row r="110" spans="2:13">
      <c r="B110" s="197" t="s">
        <v>339</v>
      </c>
      <c r="C110" s="259" t="e">
        <f>C6/C95</f>
        <v>#DIV/0!</v>
      </c>
      <c r="D110" s="276" t="e">
        <f>D6/D95</f>
        <v>#DIV/0!</v>
      </c>
      <c r="E110" s="277" t="e">
        <f>560920/E95</f>
        <v>#DIV/0!</v>
      </c>
      <c r="F110" s="278" t="e">
        <f>560920/F95</f>
        <v>#DIV/0!</v>
      </c>
      <c r="G110" s="278" t="e">
        <f>560920/G95</f>
        <v>#DIV/0!</v>
      </c>
      <c r="H110" s="278" t="e">
        <f>560920/H95</f>
        <v>#DIV/0!</v>
      </c>
    </row>
    <row r="111" spans="2:13" s="158" customFormat="1" ht="13">
      <c r="B111" s="164" t="s">
        <v>340</v>
      </c>
      <c r="C111" s="279"/>
      <c r="D111" s="280"/>
      <c r="E111" s="271"/>
      <c r="F111" s="271"/>
      <c r="G111" s="271"/>
      <c r="H111" s="269"/>
    </row>
    <row r="112" spans="2:13">
      <c r="B112" s="197" t="s">
        <v>341</v>
      </c>
      <c r="C112" s="281" t="e">
        <f t="shared" ref="C112:H112" si="29">(C38+C52)/C35</f>
        <v>#DIV/0!</v>
      </c>
      <c r="D112" s="282" t="e">
        <f t="shared" si="29"/>
        <v>#DIV/0!</v>
      </c>
      <c r="E112" s="277" t="e">
        <f t="shared" si="29"/>
        <v>#DIV/0!</v>
      </c>
      <c r="F112" s="278" t="e">
        <f t="shared" si="29"/>
        <v>#DIV/0!</v>
      </c>
      <c r="G112" s="278" t="e">
        <f t="shared" si="29"/>
        <v>#DIV/0!</v>
      </c>
      <c r="H112" s="278" t="e">
        <f t="shared" si="29"/>
        <v>#DIV/0!</v>
      </c>
    </row>
    <row r="113" spans="2:8">
      <c r="B113" s="197" t="s">
        <v>342</v>
      </c>
      <c r="C113" s="281" t="e">
        <f t="shared" ref="C113:H113" si="30">(C38+C52)/C72</f>
        <v>#DIV/0!</v>
      </c>
      <c r="D113" s="282" t="e">
        <f t="shared" si="30"/>
        <v>#DIV/0!</v>
      </c>
      <c r="E113" s="261" t="e">
        <f t="shared" si="30"/>
        <v>#DIV/0!</v>
      </c>
      <c r="F113" s="259" t="e">
        <f t="shared" si="30"/>
        <v>#DIV/0!</v>
      </c>
      <c r="G113" s="259" t="e">
        <f t="shared" si="30"/>
        <v>#DIV/0!</v>
      </c>
      <c r="H113" s="259">
        <f t="shared" si="30"/>
        <v>0</v>
      </c>
    </row>
    <row r="114" spans="2:8">
      <c r="B114" s="197" t="s">
        <v>343</v>
      </c>
      <c r="C114" s="283" t="e">
        <f>C123</f>
        <v>#DIV/0!</v>
      </c>
      <c r="D114" s="284" t="e">
        <f>D123</f>
        <v>#DIV/0!</v>
      </c>
      <c r="E114" s="261"/>
      <c r="F114" s="261"/>
      <c r="G114" s="261"/>
      <c r="H114" s="259"/>
    </row>
    <row r="115" spans="2:8">
      <c r="B115" s="373" t="s">
        <v>344</v>
      </c>
      <c r="C115" s="429" t="e">
        <f>C72/C35</f>
        <v>#DIV/0!</v>
      </c>
      <c r="D115" s="429" t="e">
        <f>D72/D35</f>
        <v>#DIV/0!</v>
      </c>
      <c r="E115" s="384"/>
      <c r="F115" s="383"/>
      <c r="G115" s="383"/>
      <c r="H115" s="385"/>
    </row>
    <row r="116" spans="2:8">
      <c r="E116" s="285"/>
      <c r="F116" s="285"/>
      <c r="G116" s="285"/>
    </row>
    <row r="117" spans="2:8">
      <c r="B117" s="173" t="s">
        <v>345</v>
      </c>
    </row>
    <row r="118" spans="2:8">
      <c r="B118" s="173" t="s">
        <v>346</v>
      </c>
      <c r="C118" s="286" t="e">
        <f t="shared" ref="C118:H118" si="31">(C20-C51)/C35*1.2</f>
        <v>#DIV/0!</v>
      </c>
      <c r="D118" s="273" t="e">
        <f t="shared" si="31"/>
        <v>#DIV/0!</v>
      </c>
      <c r="E118" s="286" t="e">
        <f t="shared" si="31"/>
        <v>#DIV/0!</v>
      </c>
      <c r="F118" s="286" t="e">
        <f t="shared" si="31"/>
        <v>#DIV/0!</v>
      </c>
      <c r="G118" s="286" t="e">
        <f t="shared" si="31"/>
        <v>#DIV/0!</v>
      </c>
      <c r="H118" s="286" t="e">
        <f t="shared" si="31"/>
        <v>#DIV/0!</v>
      </c>
    </row>
    <row r="119" spans="2:8">
      <c r="B119" s="173" t="s">
        <v>347</v>
      </c>
      <c r="C119" s="273" t="e">
        <f>(C67/C35)*1.4</f>
        <v>#DIV/0!</v>
      </c>
      <c r="D119" s="273" t="e">
        <f>(C67/D35)*1.4</f>
        <v>#DIV/0!</v>
      </c>
      <c r="E119" s="160" t="e">
        <f>(#REF!/E35)*1.4</f>
        <v>#REF!</v>
      </c>
      <c r="F119" s="160" t="e">
        <f>(#REF!/F35)*1.4</f>
        <v>#REF!</v>
      </c>
      <c r="G119" s="160" t="e">
        <f>(#REF!/G35)*1.4</f>
        <v>#REF!</v>
      </c>
      <c r="H119" s="160" t="e">
        <f>(#REF!/H35)*1.4</f>
        <v>#REF!</v>
      </c>
    </row>
    <row r="120" spans="2:8">
      <c r="B120" s="173" t="s">
        <v>348</v>
      </c>
      <c r="C120" s="273" t="e">
        <f t="shared" ref="C120:H120" si="32">(C85/C35)*3.3</f>
        <v>#DIV/0!</v>
      </c>
      <c r="D120" s="273" t="e">
        <f t="shared" si="32"/>
        <v>#DIV/0!</v>
      </c>
      <c r="E120" s="160" t="e">
        <f t="shared" si="32"/>
        <v>#DIV/0!</v>
      </c>
      <c r="F120" s="160" t="e">
        <f t="shared" si="32"/>
        <v>#DIV/0!</v>
      </c>
      <c r="G120" s="160" t="e">
        <f t="shared" si="32"/>
        <v>#DIV/0!</v>
      </c>
      <c r="H120" s="160" t="e">
        <f t="shared" si="32"/>
        <v>#DIV/0!</v>
      </c>
    </row>
    <row r="121" spans="2:8">
      <c r="B121" s="173" t="s">
        <v>349</v>
      </c>
      <c r="C121" s="273" t="e">
        <f t="shared" ref="C121:H121" si="33">(C73/C61)*0.6</f>
        <v>#DIV/0!</v>
      </c>
      <c r="D121" s="273" t="e">
        <f t="shared" si="33"/>
        <v>#DIV/0!</v>
      </c>
      <c r="E121" s="286" t="e">
        <f t="shared" si="33"/>
        <v>#DIV/0!</v>
      </c>
      <c r="F121" s="286" t="e">
        <f t="shared" si="33"/>
        <v>#DIV/0!</v>
      </c>
      <c r="G121" s="286" t="e">
        <f t="shared" si="33"/>
        <v>#DIV/0!</v>
      </c>
      <c r="H121" s="286" t="e">
        <f t="shared" si="33"/>
        <v>#DIV/0!</v>
      </c>
    </row>
    <row r="122" spans="2:8">
      <c r="B122" s="173" t="s">
        <v>350</v>
      </c>
      <c r="C122" s="273" t="e">
        <f t="shared" ref="C122:H122" si="34">(C76/C35)*1</f>
        <v>#DIV/0!</v>
      </c>
      <c r="D122" s="273" t="e">
        <f t="shared" si="34"/>
        <v>#DIV/0!</v>
      </c>
      <c r="E122" s="160" t="e">
        <f t="shared" si="34"/>
        <v>#DIV/0!</v>
      </c>
      <c r="F122" s="160" t="e">
        <f t="shared" si="34"/>
        <v>#DIV/0!</v>
      </c>
      <c r="G122" s="160" t="e">
        <f t="shared" si="34"/>
        <v>#DIV/0!</v>
      </c>
      <c r="H122" s="160" t="e">
        <f t="shared" si="34"/>
        <v>#DIV/0!</v>
      </c>
    </row>
    <row r="123" spans="2:8">
      <c r="B123" s="287" t="s">
        <v>351</v>
      </c>
      <c r="C123" s="288" t="e">
        <f t="shared" ref="C123:H123" si="35">SUM(C118:C122)</f>
        <v>#DIV/0!</v>
      </c>
      <c r="D123" s="288" t="e">
        <f t="shared" si="35"/>
        <v>#DIV/0!</v>
      </c>
      <c r="E123" s="286" t="e">
        <f t="shared" si="35"/>
        <v>#DIV/0!</v>
      </c>
      <c r="F123" s="286" t="e">
        <f t="shared" si="35"/>
        <v>#DIV/0!</v>
      </c>
      <c r="G123" s="286" t="e">
        <f t="shared" si="35"/>
        <v>#DIV/0!</v>
      </c>
      <c r="H123" s="286" t="e">
        <f t="shared" si="35"/>
        <v>#DIV/0!</v>
      </c>
    </row>
    <row r="125" spans="2:8">
      <c r="B125" s="160" t="s">
        <v>507</v>
      </c>
    </row>
    <row r="126" spans="2:8">
      <c r="B126" s="160" t="s">
        <v>508</v>
      </c>
      <c r="C126" s="173">
        <f>C14+C13-C40</f>
        <v>0</v>
      </c>
    </row>
    <row r="127" spans="2:8">
      <c r="B127" s="160" t="s">
        <v>509</v>
      </c>
      <c r="C127" s="173">
        <f>C20</f>
        <v>0</v>
      </c>
    </row>
    <row r="128" spans="2:8">
      <c r="B128" s="160" t="s">
        <v>510</v>
      </c>
      <c r="C128" s="173">
        <f>C20-C51</f>
        <v>0</v>
      </c>
    </row>
    <row r="129" spans="2:3">
      <c r="B129" s="160" t="s">
        <v>517</v>
      </c>
      <c r="C129" s="173">
        <f>(C20-D20)-(C51-D51)</f>
        <v>0</v>
      </c>
    </row>
    <row r="130" spans="2:3">
      <c r="B130" s="160" t="s">
        <v>518</v>
      </c>
      <c r="C130" s="453" t="e">
        <f>C20/C51</f>
        <v>#DIV/0!</v>
      </c>
    </row>
    <row r="135" spans="2:3">
      <c r="B135" s="160" t="s">
        <v>511</v>
      </c>
    </row>
    <row r="136" spans="2:3">
      <c r="B136" s="160" t="s">
        <v>512</v>
      </c>
    </row>
    <row r="137" spans="2:3">
      <c r="B137" s="160" t="s">
        <v>513</v>
      </c>
    </row>
    <row r="138" spans="2:3">
      <c r="B138" s="160" t="s">
        <v>514</v>
      </c>
    </row>
    <row r="139" spans="2:3">
      <c r="B139" s="160" t="s">
        <v>515</v>
      </c>
    </row>
    <row r="140" spans="2:3">
      <c r="B140" s="160" t="s">
        <v>516</v>
      </c>
    </row>
  </sheetData>
  <pageMargins left="0.7" right="0.7" top="0.75" bottom="0.75" header="0.3" footer="0.3"/>
  <pageSetup scale="49" orientation="portrait" horizontalDpi="4294967293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A2479-9BFE-4CA3-A4FE-87FE4E2D914F}">
  <sheetPr codeName="Sheet11"/>
  <dimension ref="A1:AL38"/>
  <sheetViews>
    <sheetView zoomScale="80" zoomScaleNormal="80" workbookViewId="0">
      <selection activeCell="X11" sqref="X11"/>
    </sheetView>
  </sheetViews>
  <sheetFormatPr defaultColWidth="12.7265625" defaultRowHeight="14.5"/>
  <cols>
    <col min="1" max="1" width="55.7265625" style="387" bestFit="1" customWidth="1"/>
    <col min="2" max="2" width="12.7265625" style="387"/>
    <col min="3" max="3" width="12.7265625" style="387" customWidth="1"/>
    <col min="4" max="4" width="4.54296875" style="387" customWidth="1"/>
    <col min="5" max="5" width="13.453125" style="387" bestFit="1" customWidth="1"/>
    <col min="6" max="6" width="7.1796875" style="387" customWidth="1"/>
    <col min="7" max="7" width="3.1796875" style="387" bestFit="1" customWidth="1"/>
    <col min="8" max="8" width="16.453125" style="387" customWidth="1"/>
    <col min="9" max="9" width="12.7265625" style="387"/>
    <col min="10" max="10" width="6.54296875" style="387" customWidth="1"/>
    <col min="11" max="11" width="6.54296875" style="387" hidden="1" customWidth="1"/>
    <col min="12" max="12" width="12.7265625" style="388"/>
    <col min="13" max="13" width="3.81640625" style="387" customWidth="1"/>
    <col min="14" max="14" width="0" style="387" hidden="1" customWidth="1"/>
    <col min="15" max="16384" width="12.7265625" style="387"/>
  </cols>
  <sheetData>
    <row r="1" spans="1:28">
      <c r="A1" s="386" t="s">
        <v>412</v>
      </c>
      <c r="V1" s="387" t="s">
        <v>413</v>
      </c>
      <c r="Y1" s="387" t="s">
        <v>56</v>
      </c>
      <c r="Z1" s="389" t="s">
        <v>414</v>
      </c>
    </row>
    <row r="2" spans="1:28" ht="15" thickBot="1">
      <c r="A2" s="387" t="s">
        <v>415</v>
      </c>
      <c r="B2" s="390">
        <f>'FA 2020'!C1</f>
        <v>0</v>
      </c>
      <c r="V2" s="387" t="s">
        <v>416</v>
      </c>
      <c r="Y2" s="387" t="s">
        <v>57</v>
      </c>
      <c r="Z2" s="389" t="s">
        <v>417</v>
      </c>
    </row>
    <row r="3" spans="1:28" ht="29.5" thickBot="1">
      <c r="A3" s="387" t="s">
        <v>418</v>
      </c>
      <c r="B3" s="387">
        <v>2019</v>
      </c>
      <c r="F3" s="391"/>
      <c r="G3" s="392"/>
      <c r="H3" s="496" t="s">
        <v>419</v>
      </c>
      <c r="I3" s="497"/>
      <c r="J3" s="393"/>
      <c r="K3" s="392"/>
      <c r="L3" s="394" t="str">
        <f>IF(K10&gt;3,"Good",IF(K10=3,"Acceptable","Unacceptable"))</f>
        <v>Unacceptable</v>
      </c>
      <c r="M3" s="395"/>
      <c r="V3" s="387" t="s">
        <v>420</v>
      </c>
      <c r="Y3" s="387" t="s">
        <v>421</v>
      </c>
      <c r="Z3" s="389" t="s">
        <v>422</v>
      </c>
    </row>
    <row r="4" spans="1:28">
      <c r="A4" s="386"/>
      <c r="F4" s="396"/>
      <c r="H4" s="389"/>
      <c r="J4" s="389"/>
      <c r="K4" s="388"/>
      <c r="M4" s="397"/>
      <c r="V4" s="387" t="s">
        <v>423</v>
      </c>
      <c r="Z4" s="389" t="s">
        <v>421</v>
      </c>
    </row>
    <row r="5" spans="1:28">
      <c r="F5" s="396"/>
      <c r="H5" s="389"/>
      <c r="J5" s="389"/>
      <c r="K5" s="388"/>
      <c r="M5" s="397"/>
      <c r="V5" s="387" t="s">
        <v>424</v>
      </c>
    </row>
    <row r="6" spans="1:28">
      <c r="F6" s="396"/>
      <c r="G6" s="387">
        <f>IF(H6="EPS",1,IF(H6="Gross Margin",2,IF(H6="ROA",3,4)))</f>
        <v>1</v>
      </c>
      <c r="H6" s="387" t="s">
        <v>425</v>
      </c>
      <c r="I6" s="398" t="str">
        <f>VLOOKUP(G6,$W$11:$AB$24,$V$30)</f>
        <v>&gt;0.5</v>
      </c>
      <c r="J6" s="399"/>
      <c r="K6" s="388">
        <f>IF(J6="yes",1,0)</f>
        <v>0</v>
      </c>
      <c r="M6" s="397"/>
    </row>
    <row r="7" spans="1:28">
      <c r="F7" s="396"/>
      <c r="G7" s="387">
        <f>IF(H7="EPS",1,IF(H7="Gross Margin",2,IF(H7="ROA",3,4)))</f>
        <v>2</v>
      </c>
      <c r="H7" s="387" t="s">
        <v>426</v>
      </c>
      <c r="I7" s="398" t="str">
        <f>VLOOKUP(G7,$W$11:$AB$24,$V$30)</f>
        <v>&gt;20%</v>
      </c>
      <c r="J7" s="399"/>
      <c r="K7" s="388">
        <f>IF(J7="yes",1,0)</f>
        <v>0</v>
      </c>
      <c r="M7" s="397"/>
    </row>
    <row r="8" spans="1:28">
      <c r="F8" s="396"/>
      <c r="G8" s="387">
        <f>IF(H8="EPS",1,IF(H8="Gross Margin",2,IF(H8="ROA",3,4)))</f>
        <v>3</v>
      </c>
      <c r="H8" s="387" t="s">
        <v>427</v>
      </c>
      <c r="I8" s="398" t="str">
        <f>VLOOKUP(G8,$W$11:$AB$24,$V$30)</f>
        <v>&gt;5%</v>
      </c>
      <c r="J8" s="399"/>
      <c r="K8" s="388">
        <f>IF(J8="yes",1,0)</f>
        <v>0</v>
      </c>
      <c r="M8" s="397"/>
    </row>
    <row r="9" spans="1:28">
      <c r="E9" s="389"/>
      <c r="F9" s="400"/>
      <c r="G9" s="387">
        <f>IF(H9="EPS",1,IF(H9="Gross Margin",2,IF(H9="ROA",3,4)))</f>
        <v>4</v>
      </c>
      <c r="H9" s="387" t="s">
        <v>428</v>
      </c>
      <c r="I9" s="398" t="str">
        <f>VLOOKUP(G9,$W$11:$AB$24,$V$30)</f>
        <v>&gt;15%</v>
      </c>
      <c r="J9" s="399"/>
      <c r="K9" s="388">
        <f>IF(J9="yes",1,0)</f>
        <v>0</v>
      </c>
      <c r="M9" s="397"/>
      <c r="V9" s="387" t="s">
        <v>429</v>
      </c>
    </row>
    <row r="10" spans="1:28" ht="15" thickBot="1">
      <c r="F10" s="396"/>
      <c r="H10" s="389"/>
      <c r="I10" s="389"/>
      <c r="J10" s="389"/>
      <c r="K10" s="401">
        <f>SUM(K6:K9)</f>
        <v>0</v>
      </c>
      <c r="L10" s="389"/>
      <c r="M10" s="402"/>
      <c r="N10" s="388"/>
      <c r="P10" s="389"/>
      <c r="Q10" s="389"/>
      <c r="R10" s="389"/>
      <c r="S10" s="389"/>
      <c r="T10" s="389"/>
      <c r="U10" s="388"/>
      <c r="W10" s="387" t="s">
        <v>430</v>
      </c>
      <c r="X10" s="403" t="s">
        <v>413</v>
      </c>
      <c r="Y10" s="403" t="s">
        <v>416</v>
      </c>
      <c r="Z10" s="403" t="s">
        <v>420</v>
      </c>
      <c r="AA10" s="403" t="s">
        <v>423</v>
      </c>
      <c r="AB10" s="403" t="s">
        <v>424</v>
      </c>
    </row>
    <row r="11" spans="1:28" ht="30" thickTop="1" thickBot="1">
      <c r="F11" s="396"/>
      <c r="G11" s="389"/>
      <c r="H11" s="389"/>
      <c r="I11" s="388"/>
      <c r="J11" s="389"/>
      <c r="K11" s="389"/>
      <c r="M11" s="404"/>
      <c r="N11" s="389"/>
      <c r="O11" s="389" t="s">
        <v>431</v>
      </c>
      <c r="V11" s="387" t="s">
        <v>425</v>
      </c>
      <c r="W11" s="387">
        <v>1</v>
      </c>
      <c r="X11" s="405" t="s">
        <v>432</v>
      </c>
      <c r="Y11" s="405" t="s">
        <v>433</v>
      </c>
      <c r="Z11" s="405" t="s">
        <v>432</v>
      </c>
      <c r="AA11" s="405" t="s">
        <v>434</v>
      </c>
      <c r="AB11" s="405" t="s">
        <v>432</v>
      </c>
    </row>
    <row r="12" spans="1:28" ht="15" thickBot="1">
      <c r="A12" s="387" t="s">
        <v>435</v>
      </c>
      <c r="C12" s="389"/>
      <c r="D12" s="389"/>
      <c r="E12" s="406" t="s">
        <v>436</v>
      </c>
      <c r="F12" s="391"/>
      <c r="G12" s="407"/>
      <c r="H12" s="496" t="s">
        <v>437</v>
      </c>
      <c r="I12" s="497"/>
      <c r="J12" s="408"/>
      <c r="K12" s="407"/>
      <c r="L12" s="394" t="str">
        <f>IF(K15=2,"Good","Unacceptable")</f>
        <v>Unacceptable</v>
      </c>
      <c r="M12" s="402"/>
      <c r="N12" s="409"/>
      <c r="O12" s="410" t="str">
        <f>IF(V30=4,"",(IF(E16="Less than 1.8","Unacceptable",IF(K33&gt;9,"GOOD",IF(K33&gt;=7,"Acceptable","Unacceptable")))))</f>
        <v>Unacceptable</v>
      </c>
      <c r="V12" s="387" t="s">
        <v>426</v>
      </c>
      <c r="W12" s="387">
        <v>2</v>
      </c>
      <c r="X12" s="411" t="s">
        <v>438</v>
      </c>
      <c r="Y12" s="411" t="s">
        <v>438</v>
      </c>
      <c r="Z12" s="411" t="s">
        <v>438</v>
      </c>
      <c r="AA12" s="411" t="s">
        <v>438</v>
      </c>
      <c r="AB12" s="411" t="s">
        <v>438</v>
      </c>
    </row>
    <row r="13" spans="1:28" ht="15" thickBot="1">
      <c r="A13" s="387" t="s">
        <v>439</v>
      </c>
      <c r="C13" s="389"/>
      <c r="D13" s="389"/>
      <c r="E13" s="406" t="s">
        <v>270</v>
      </c>
      <c r="F13" s="396"/>
      <c r="G13" s="387">
        <v>5</v>
      </c>
      <c r="H13" s="387" t="s">
        <v>333</v>
      </c>
      <c r="I13" s="398" t="str">
        <f>VLOOKUP(G13,$W$11:$AB$24,$V$30)</f>
        <v>&gt;1.1</v>
      </c>
      <c r="J13" s="399"/>
      <c r="K13" s="388">
        <f>IF(J13="yes",1,0)</f>
        <v>0</v>
      </c>
      <c r="L13" s="412"/>
      <c r="M13" s="402"/>
      <c r="N13" s="389"/>
      <c r="O13" s="413" t="str">
        <f>IF(V30=4,IF(K33&gt;9,"GOOD",IF(K33&gt;=7,"Acceptable","Unacceptable")),"")</f>
        <v/>
      </c>
      <c r="V13" s="387" t="s">
        <v>427</v>
      </c>
      <c r="W13" s="387">
        <v>3</v>
      </c>
      <c r="X13" s="411" t="s">
        <v>440</v>
      </c>
      <c r="Y13" s="411" t="s">
        <v>440</v>
      </c>
      <c r="Z13" s="411" t="s">
        <v>441</v>
      </c>
      <c r="AA13" s="411" t="s">
        <v>440</v>
      </c>
      <c r="AB13" s="411" t="s">
        <v>440</v>
      </c>
    </row>
    <row r="14" spans="1:28">
      <c r="A14" s="387" t="s">
        <v>442</v>
      </c>
      <c r="B14" s="498" t="s">
        <v>424</v>
      </c>
      <c r="C14" s="498"/>
      <c r="D14" s="389"/>
      <c r="E14" s="389"/>
      <c r="F14" s="396"/>
      <c r="G14" s="387">
        <v>6</v>
      </c>
      <c r="H14" s="387" t="s">
        <v>443</v>
      </c>
      <c r="I14" s="398" t="str">
        <f>VLOOKUP(G14,$W$11:$AB$24,$V$30)</f>
        <v>&gt;0.9</v>
      </c>
      <c r="J14" s="399"/>
      <c r="K14" s="388">
        <f>IF(J14="yes",1,0)</f>
        <v>0</v>
      </c>
      <c r="L14" s="412"/>
      <c r="M14" s="402"/>
      <c r="N14" s="389"/>
      <c r="V14" s="387" t="s">
        <v>428</v>
      </c>
      <c r="W14" s="387">
        <v>4</v>
      </c>
      <c r="X14" s="411" t="s">
        <v>444</v>
      </c>
      <c r="Y14" s="411" t="s">
        <v>438</v>
      </c>
      <c r="Z14" s="411" t="s">
        <v>444</v>
      </c>
      <c r="AA14" s="411" t="s">
        <v>440</v>
      </c>
      <c r="AB14" s="411" t="s">
        <v>445</v>
      </c>
    </row>
    <row r="15" spans="1:28" ht="15" thickBot="1">
      <c r="C15" s="389"/>
      <c r="D15" s="389"/>
      <c r="E15" s="389" t="s">
        <v>446</v>
      </c>
      <c r="F15" s="396"/>
      <c r="I15" s="414"/>
      <c r="J15" s="389"/>
      <c r="K15" s="401">
        <f>SUM(K13:K14)</f>
        <v>0</v>
      </c>
      <c r="L15" s="412"/>
      <c r="M15" s="402"/>
      <c r="N15" s="389"/>
      <c r="V15" s="387" t="s">
        <v>333</v>
      </c>
      <c r="W15" s="387">
        <v>5</v>
      </c>
      <c r="X15" s="405" t="s">
        <v>447</v>
      </c>
      <c r="Y15" s="405" t="s">
        <v>447</v>
      </c>
      <c r="Z15" s="405" t="s">
        <v>447</v>
      </c>
      <c r="AA15" s="405" t="s">
        <v>447</v>
      </c>
      <c r="AB15" s="405" t="s">
        <v>447</v>
      </c>
    </row>
    <row r="16" spans="1:28" ht="15.5" thickTop="1" thickBot="1">
      <c r="C16" s="389"/>
      <c r="D16" s="389"/>
      <c r="E16" s="415"/>
      <c r="F16" s="400"/>
      <c r="I16" s="414"/>
      <c r="J16" s="389"/>
      <c r="K16" s="388"/>
      <c r="L16" s="412"/>
      <c r="M16" s="402"/>
      <c r="N16" s="389"/>
      <c r="V16" s="387" t="s">
        <v>443</v>
      </c>
      <c r="W16" s="387">
        <v>6</v>
      </c>
      <c r="X16" s="405" t="s">
        <v>448</v>
      </c>
      <c r="Y16" s="405" t="s">
        <v>448</v>
      </c>
      <c r="Z16" s="405" t="s">
        <v>448</v>
      </c>
      <c r="AA16" s="405" t="s">
        <v>448</v>
      </c>
      <c r="AB16" s="405" t="s">
        <v>448</v>
      </c>
    </row>
    <row r="17" spans="3:38" ht="15" thickBot="1">
      <c r="C17" s="389"/>
      <c r="D17" s="389"/>
      <c r="E17" s="389"/>
      <c r="F17" s="416"/>
      <c r="G17" s="417"/>
      <c r="H17" s="499" t="s">
        <v>449</v>
      </c>
      <c r="I17" s="497"/>
      <c r="J17" s="408"/>
      <c r="K17" s="407"/>
      <c r="L17" s="394" t="str">
        <f>IF(K21&gt;2,"Good",IF(K21=2,"Acceptable","Unacceptable"))</f>
        <v>Unacceptable</v>
      </c>
      <c r="M17" s="418"/>
      <c r="N17" s="389"/>
      <c r="V17" s="387" t="s">
        <v>341</v>
      </c>
      <c r="W17" s="387">
        <v>7</v>
      </c>
      <c r="X17" s="388" t="s">
        <v>450</v>
      </c>
      <c r="Y17" s="388" t="s">
        <v>450</v>
      </c>
      <c r="Z17" s="388" t="s">
        <v>450</v>
      </c>
      <c r="AA17" s="388" t="s">
        <v>450</v>
      </c>
      <c r="AB17" s="388" t="s">
        <v>450</v>
      </c>
    </row>
    <row r="18" spans="3:38">
      <c r="C18" s="389"/>
      <c r="D18" s="389"/>
      <c r="E18" s="389"/>
      <c r="F18" s="400"/>
      <c r="G18" s="419">
        <v>7</v>
      </c>
      <c r="H18" s="387" t="s">
        <v>341</v>
      </c>
      <c r="I18" s="398" t="str">
        <f>VLOOKUP(G18,$W$11:$AB$24,$V$30)</f>
        <v>&lt;1</v>
      </c>
      <c r="J18" s="399"/>
      <c r="K18" s="388">
        <f>IF(J18="yes",1,0)</f>
        <v>0</v>
      </c>
      <c r="L18" s="412"/>
      <c r="M18" s="397"/>
      <c r="N18" s="389"/>
      <c r="V18" s="387" t="s">
        <v>451</v>
      </c>
      <c r="W18" s="387">
        <v>8</v>
      </c>
      <c r="X18" s="388" t="s">
        <v>450</v>
      </c>
      <c r="Y18" s="388" t="s">
        <v>450</v>
      </c>
      <c r="Z18" s="388" t="s">
        <v>450</v>
      </c>
      <c r="AA18" s="388" t="s">
        <v>450</v>
      </c>
      <c r="AB18" s="388" t="s">
        <v>450</v>
      </c>
    </row>
    <row r="19" spans="3:38">
      <c r="C19" s="389"/>
      <c r="D19" s="389"/>
      <c r="E19" s="389"/>
      <c r="F19" s="420"/>
      <c r="G19" s="419">
        <v>8</v>
      </c>
      <c r="H19" s="387" t="s">
        <v>451</v>
      </c>
      <c r="I19" s="398" t="str">
        <f>VLOOKUP(G19,$W$11:$AB$24,$V$30)</f>
        <v>&lt;1</v>
      </c>
      <c r="J19" s="399"/>
      <c r="K19" s="388">
        <f>IF(J19="yes",1,0)</f>
        <v>0</v>
      </c>
      <c r="L19" s="412"/>
      <c r="M19" s="397"/>
      <c r="N19" s="389"/>
      <c r="V19" s="387" t="s">
        <v>452</v>
      </c>
      <c r="W19" s="387">
        <v>9</v>
      </c>
      <c r="X19" s="388" t="s">
        <v>453</v>
      </c>
      <c r="Y19" s="388" t="s">
        <v>453</v>
      </c>
      <c r="Z19" s="388" t="s">
        <v>453</v>
      </c>
      <c r="AA19" s="388" t="s">
        <v>453</v>
      </c>
      <c r="AB19" s="388" t="s">
        <v>453</v>
      </c>
    </row>
    <row r="20" spans="3:38">
      <c r="C20" s="389"/>
      <c r="D20" s="389"/>
      <c r="E20" s="389"/>
      <c r="F20" s="420"/>
      <c r="G20" s="419">
        <v>9</v>
      </c>
      <c r="H20" s="387" t="s">
        <v>452</v>
      </c>
      <c r="I20" s="398" t="str">
        <f>VLOOKUP(G20,$W$11:$AB$24,$V$30)</f>
        <v>&gt;2</v>
      </c>
      <c r="J20" s="399"/>
      <c r="K20" s="388">
        <f>IF(J20="yes",1,0)</f>
        <v>0</v>
      </c>
      <c r="L20" s="412"/>
      <c r="M20" s="397"/>
      <c r="V20" s="387" t="s">
        <v>454</v>
      </c>
      <c r="W20" s="387">
        <v>10</v>
      </c>
      <c r="X20" s="388" t="s">
        <v>455</v>
      </c>
      <c r="Y20" s="388" t="s">
        <v>456</v>
      </c>
      <c r="Z20" s="388" t="s">
        <v>456</v>
      </c>
      <c r="AA20" s="388" t="s">
        <v>457</v>
      </c>
      <c r="AB20" s="388" t="s">
        <v>457</v>
      </c>
    </row>
    <row r="21" spans="3:38" ht="15" thickBot="1">
      <c r="C21" s="389"/>
      <c r="D21" s="389"/>
      <c r="E21" s="389"/>
      <c r="F21" s="400"/>
      <c r="G21" s="389"/>
      <c r="J21" s="388"/>
      <c r="K21" s="401">
        <f>SUM(K18:K20)</f>
        <v>0</v>
      </c>
      <c r="L21" s="412"/>
      <c r="M21" s="421"/>
      <c r="V21" s="387" t="s">
        <v>458</v>
      </c>
      <c r="W21" s="387">
        <v>11</v>
      </c>
      <c r="X21" s="388" t="s">
        <v>432</v>
      </c>
      <c r="Y21" s="388" t="s">
        <v>432</v>
      </c>
      <c r="Z21" s="388" t="s">
        <v>432</v>
      </c>
      <c r="AA21" s="388" t="s">
        <v>432</v>
      </c>
      <c r="AB21" s="388" t="s">
        <v>432</v>
      </c>
    </row>
    <row r="22" spans="3:38" ht="30" thickTop="1" thickBot="1">
      <c r="C22" s="389"/>
      <c r="D22" s="389"/>
      <c r="E22" s="389"/>
      <c r="F22" s="422"/>
      <c r="G22" s="423"/>
      <c r="H22" s="389"/>
      <c r="I22" s="388"/>
      <c r="J22" s="389"/>
      <c r="K22" s="389"/>
      <c r="L22" s="412"/>
      <c r="M22" s="402"/>
      <c r="V22" s="387" t="s">
        <v>459</v>
      </c>
      <c r="W22" s="387">
        <v>12</v>
      </c>
      <c r="X22" s="388" t="s">
        <v>460</v>
      </c>
      <c r="Y22" s="388" t="s">
        <v>461</v>
      </c>
      <c r="Z22" s="388" t="s">
        <v>456</v>
      </c>
      <c r="AA22" s="388" t="s">
        <v>460</v>
      </c>
      <c r="AB22" s="388" t="s">
        <v>460</v>
      </c>
      <c r="AE22" s="389"/>
      <c r="AF22" s="388"/>
      <c r="AG22" s="389"/>
      <c r="AH22" s="389"/>
      <c r="AI22" s="388"/>
      <c r="AJ22" s="389" t="s">
        <v>462</v>
      </c>
      <c r="AK22" s="389" t="s">
        <v>463</v>
      </c>
      <c r="AL22" s="389" t="s">
        <v>464</v>
      </c>
    </row>
    <row r="23" spans="3:38" ht="15" thickBot="1">
      <c r="C23" s="389"/>
      <c r="D23" s="389"/>
      <c r="E23" s="389"/>
      <c r="F23" s="388"/>
      <c r="G23" s="389"/>
      <c r="H23" s="496" t="s">
        <v>465</v>
      </c>
      <c r="I23" s="497"/>
      <c r="J23" s="408"/>
      <c r="K23" s="407"/>
      <c r="L23" s="394" t="str">
        <f>IF(V30=4,IF(K31&gt;=5,"Good",IF(K31=3,"Acceptable","Unacceptable")),IF(K31&gt;=3,"Good",IF(K31=2,"Acceptable","Unacceptable")))</f>
        <v>Unacceptable</v>
      </c>
      <c r="M23" s="408"/>
      <c r="N23" s="389"/>
      <c r="V23" s="387" t="s">
        <v>466</v>
      </c>
      <c r="W23" s="387">
        <v>13</v>
      </c>
      <c r="X23" s="388" t="s">
        <v>460</v>
      </c>
      <c r="Y23" s="388" t="s">
        <v>461</v>
      </c>
      <c r="Z23" s="388" t="s">
        <v>456</v>
      </c>
      <c r="AA23" s="388" t="s">
        <v>460</v>
      </c>
      <c r="AB23" s="388" t="s">
        <v>460</v>
      </c>
      <c r="AE23" s="387" t="s">
        <v>467</v>
      </c>
      <c r="AJ23" s="387">
        <f>0.8*13</f>
        <v>10.4</v>
      </c>
      <c r="AK23" s="387">
        <f>0.6*13</f>
        <v>7.8</v>
      </c>
      <c r="AL23" s="387">
        <f>0.5*13</f>
        <v>6.5</v>
      </c>
    </row>
    <row r="24" spans="3:38">
      <c r="C24" s="389"/>
      <c r="D24" s="389"/>
      <c r="E24" s="389"/>
      <c r="F24" s="388"/>
      <c r="G24" s="387">
        <v>10</v>
      </c>
      <c r="H24" s="387" t="s">
        <v>454</v>
      </c>
      <c r="I24" s="398" t="str">
        <f>VLOOKUP(G24,$W$11:$AB$24,$V$30)</f>
        <v>&gt;3</v>
      </c>
      <c r="J24" s="399"/>
      <c r="K24" s="388">
        <f t="shared" ref="K24:K30" si="0">IF(J24="yes",1,0)</f>
        <v>0</v>
      </c>
      <c r="L24" s="412"/>
      <c r="M24" s="389"/>
      <c r="N24" s="389"/>
      <c r="V24" s="387" t="s">
        <v>468</v>
      </c>
      <c r="W24" s="387">
        <v>14</v>
      </c>
      <c r="X24" s="388" t="s">
        <v>456</v>
      </c>
      <c r="Y24" s="388" t="s">
        <v>456</v>
      </c>
      <c r="Z24" s="388">
        <v>0.5</v>
      </c>
      <c r="AA24" s="388" t="s">
        <v>456</v>
      </c>
      <c r="AB24" s="388" t="s">
        <v>456</v>
      </c>
    </row>
    <row r="25" spans="3:38">
      <c r="F25" s="388"/>
      <c r="G25" s="387">
        <v>11</v>
      </c>
      <c r="H25" s="387" t="s">
        <v>458</v>
      </c>
      <c r="I25" s="398" t="str">
        <f>VLOOKUP(G25,$W$11:$AB$24,$V$30)</f>
        <v>&gt;0.5</v>
      </c>
      <c r="J25" s="399"/>
      <c r="K25" s="388">
        <f t="shared" si="0"/>
        <v>0</v>
      </c>
      <c r="L25" s="412"/>
      <c r="M25" s="389"/>
      <c r="N25" s="389"/>
      <c r="V25" s="387" t="s">
        <v>469</v>
      </c>
      <c r="W25" s="387">
        <v>15</v>
      </c>
      <c r="X25" s="388" t="s">
        <v>456</v>
      </c>
      <c r="Y25" s="388" t="s">
        <v>456</v>
      </c>
      <c r="Z25" s="388">
        <v>0.7</v>
      </c>
      <c r="AA25" s="388" t="s">
        <v>456</v>
      </c>
      <c r="AB25" s="388" t="s">
        <v>456</v>
      </c>
    </row>
    <row r="26" spans="3:38">
      <c r="F26" s="388"/>
      <c r="G26" s="387">
        <v>12</v>
      </c>
      <c r="H26" s="387" t="s">
        <v>459</v>
      </c>
      <c r="I26" s="398" t="str">
        <f>VLOOKUP(G26,$W$11:$AB$24,$V$30)</f>
        <v>&lt;100days</v>
      </c>
      <c r="J26" s="399"/>
      <c r="K26" s="388">
        <f t="shared" si="0"/>
        <v>0</v>
      </c>
      <c r="M26" s="389"/>
      <c r="N26" s="389"/>
      <c r="V26" s="387" t="s">
        <v>470</v>
      </c>
      <c r="W26" s="387">
        <v>16</v>
      </c>
      <c r="X26" s="388" t="s">
        <v>456</v>
      </c>
      <c r="Y26" s="388" t="s">
        <v>456</v>
      </c>
      <c r="Z26" s="388" t="s">
        <v>471</v>
      </c>
      <c r="AA26" s="388" t="s">
        <v>456</v>
      </c>
      <c r="AB26" s="388" t="s">
        <v>456</v>
      </c>
    </row>
    <row r="27" spans="3:38">
      <c r="F27" s="388"/>
      <c r="G27" s="387">
        <v>13</v>
      </c>
      <c r="H27" s="387" t="s">
        <v>466</v>
      </c>
      <c r="I27" s="398" t="str">
        <f>VLOOKUP(G27,$W$11:$AB$24,$V$30)</f>
        <v>&lt;100days</v>
      </c>
      <c r="J27" s="399"/>
      <c r="K27" s="388">
        <f t="shared" si="0"/>
        <v>0</v>
      </c>
      <c r="M27" s="389"/>
      <c r="N27" s="389"/>
    </row>
    <row r="28" spans="3:38">
      <c r="F28" s="388"/>
      <c r="G28" s="387">
        <v>14</v>
      </c>
      <c r="H28" s="424" t="str">
        <f>IF(V30=4,"Efficiency Ratio","")</f>
        <v/>
      </c>
      <c r="I28" s="398" t="str">
        <f>IF(V30=4,VLOOKUP(G28,$W$11:$AB$26,$V$30),"")</f>
        <v/>
      </c>
      <c r="J28" s="399"/>
      <c r="K28" s="388">
        <f t="shared" si="0"/>
        <v>0</v>
      </c>
      <c r="M28" s="389"/>
      <c r="N28" s="389"/>
    </row>
    <row r="29" spans="3:38">
      <c r="F29" s="388"/>
      <c r="G29" s="419">
        <v>15</v>
      </c>
      <c r="H29" s="424" t="str">
        <f>IF(V30=4,"Loan/Deposit Ratio","")</f>
        <v/>
      </c>
      <c r="I29" s="398" t="str">
        <f>IF(V30=4,VLOOKUP(G29,$W$11:$AB$26,$V$30),"")</f>
        <v/>
      </c>
      <c r="J29" s="399"/>
      <c r="K29" s="388">
        <f t="shared" si="0"/>
        <v>0</v>
      </c>
      <c r="M29" s="389"/>
      <c r="N29" s="389"/>
      <c r="V29" s="389" t="s">
        <v>429</v>
      </c>
    </row>
    <row r="30" spans="3:38">
      <c r="C30" s="389"/>
      <c r="D30" s="389"/>
      <c r="F30" s="388"/>
      <c r="G30" s="419">
        <v>16</v>
      </c>
      <c r="H30" s="424" t="str">
        <f>IF(V30=4,"NPL","")</f>
        <v/>
      </c>
      <c r="I30" s="398" t="str">
        <f>IF(V30=4,VLOOKUP(G30,$W$11:$AB$26,$V$30),"")</f>
        <v/>
      </c>
      <c r="J30" s="399" t="s">
        <v>57</v>
      </c>
      <c r="K30" s="388">
        <f t="shared" si="0"/>
        <v>0</v>
      </c>
      <c r="M30" s="389"/>
      <c r="N30" s="389"/>
      <c r="V30" s="389">
        <f>MATCH($B$14,$W$10:$AB$10,0)</f>
        <v>6</v>
      </c>
    </row>
    <row r="31" spans="3:38" ht="15" thickBot="1">
      <c r="C31" s="389"/>
      <c r="D31" s="389"/>
      <c r="F31" s="388"/>
      <c r="G31" s="389"/>
      <c r="H31" s="389"/>
      <c r="I31" s="388"/>
      <c r="J31" s="389"/>
      <c r="K31" s="401">
        <f>SUM(K24:K30)</f>
        <v>0</v>
      </c>
      <c r="M31" s="389"/>
      <c r="N31" s="389"/>
    </row>
    <row r="32" spans="3:38" ht="15" thickTop="1">
      <c r="C32" s="389"/>
      <c r="D32" s="389"/>
      <c r="E32" s="389"/>
      <c r="F32" s="388"/>
      <c r="G32" s="389"/>
      <c r="H32" s="389"/>
      <c r="I32" s="388"/>
      <c r="J32" s="389"/>
      <c r="K32" s="389"/>
      <c r="M32" s="389"/>
      <c r="N32" s="389"/>
    </row>
    <row r="33" spans="3:22">
      <c r="C33" s="389"/>
      <c r="D33" s="389"/>
      <c r="E33" s="389"/>
      <c r="F33" s="388"/>
      <c r="G33" s="389"/>
      <c r="H33" s="389"/>
      <c r="I33" s="388"/>
      <c r="J33" s="389"/>
      <c r="K33" s="389">
        <f>K31+K21+K15+K10</f>
        <v>0</v>
      </c>
      <c r="M33" s="389"/>
      <c r="N33" s="389"/>
    </row>
    <row r="34" spans="3:22">
      <c r="C34" s="389"/>
      <c r="D34" s="389"/>
      <c r="E34" s="389"/>
      <c r="F34" s="388"/>
      <c r="G34" s="389"/>
    </row>
    <row r="35" spans="3:22">
      <c r="C35" s="389"/>
      <c r="D35" s="389"/>
      <c r="E35" s="389"/>
      <c r="F35" s="388"/>
      <c r="V35" s="387">
        <f>80/365</f>
        <v>0.21917808219178081</v>
      </c>
    </row>
    <row r="36" spans="3:22">
      <c r="C36" s="389"/>
      <c r="D36" s="389"/>
      <c r="E36" s="389"/>
      <c r="F36" s="388"/>
    </row>
    <row r="37" spans="3:22">
      <c r="C37" s="389"/>
      <c r="D37" s="389"/>
      <c r="E37" s="389"/>
      <c r="F37" s="388"/>
    </row>
    <row r="38" spans="3:22">
      <c r="C38" s="389"/>
      <c r="D38" s="389"/>
      <c r="E38" s="389"/>
      <c r="F38" s="388"/>
      <c r="N38" s="389"/>
    </row>
  </sheetData>
  <mergeCells count="5">
    <mergeCell ref="H3:I3"/>
    <mergeCell ref="H12:I12"/>
    <mergeCell ref="B14:C14"/>
    <mergeCell ref="H17:I17"/>
    <mergeCell ref="H23:I23"/>
  </mergeCells>
  <dataValidations disablePrompts="1" count="4">
    <dataValidation type="list" allowBlank="1" showInputMessage="1" showErrorMessage="1" sqref="J15:J16" xr:uid="{6242AD20-A7DF-4F3E-9BF1-5CA62478F3F9}">
      <formula1>$Y$1:$Y$2</formula1>
    </dataValidation>
    <dataValidation type="list" allowBlank="1" showInputMessage="1" showErrorMessage="1" sqref="J18:J20 J13:J14 J6:J9 J24:J30" xr:uid="{43E70FE9-695A-4998-9381-4B6A713CEA53}">
      <formula1>$Y$1:$Y$3</formula1>
    </dataValidation>
    <dataValidation type="list" allowBlank="1" showInputMessage="1" showErrorMessage="1" sqref="B14" xr:uid="{D8003A3C-2DBD-4227-88FB-E049E05CADD4}">
      <formula1>$V$1:$V$5</formula1>
    </dataValidation>
    <dataValidation type="list" allowBlank="1" showInputMessage="1" showErrorMessage="1" sqref="E16" xr:uid="{3C47B11A-FF47-4617-99C2-B543234E640A}">
      <formula1>$Z$1:$Z$4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ColWidth="10.81640625" defaultRowHeight="14.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A32" sqref="A32"/>
    </sheetView>
  </sheetViews>
  <sheetFormatPr defaultColWidth="8.816406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K111"/>
  <sheetViews>
    <sheetView workbookViewId="0">
      <selection activeCell="K12" sqref="K12"/>
    </sheetView>
  </sheetViews>
  <sheetFormatPr defaultColWidth="9.1796875" defaultRowHeight="13"/>
  <cols>
    <col min="1" max="1" width="9.1796875" style="4"/>
    <col min="2" max="2" width="17.81640625" style="4" customWidth="1"/>
    <col min="3" max="16384" width="9.1796875" style="4"/>
  </cols>
  <sheetData>
    <row r="3" spans="1:11">
      <c r="B3" s="8" t="s">
        <v>19</v>
      </c>
      <c r="C3" s="7"/>
      <c r="D3" s="7"/>
      <c r="K3" s="8" t="s">
        <v>263</v>
      </c>
    </row>
    <row r="4" spans="1:11">
      <c r="A4" s="14">
        <v>1</v>
      </c>
      <c r="B4" s="4" t="s">
        <v>20</v>
      </c>
      <c r="C4" s="4">
        <v>0.75</v>
      </c>
      <c r="K4" s="4" t="s">
        <v>261</v>
      </c>
    </row>
    <row r="5" spans="1:11">
      <c r="A5" s="14">
        <v>2</v>
      </c>
      <c r="B5" s="4" t="s">
        <v>21</v>
      </c>
      <c r="C5" s="4">
        <v>0.85</v>
      </c>
      <c r="K5" s="4" t="s">
        <v>268</v>
      </c>
    </row>
    <row r="6" spans="1:11">
      <c r="A6" s="14">
        <v>3</v>
      </c>
      <c r="B6" s="4" t="s">
        <v>22</v>
      </c>
      <c r="C6" s="4">
        <v>1</v>
      </c>
      <c r="K6" s="4" t="s">
        <v>262</v>
      </c>
    </row>
    <row r="7" spans="1:11">
      <c r="A7" s="14">
        <v>4</v>
      </c>
      <c r="B7" s="4" t="s">
        <v>104</v>
      </c>
      <c r="C7" s="4">
        <v>1.2</v>
      </c>
      <c r="K7" s="4" t="s">
        <v>269</v>
      </c>
    </row>
    <row r="8" spans="1:11">
      <c r="A8" s="14"/>
      <c r="K8" s="4" t="s">
        <v>269</v>
      </c>
    </row>
    <row r="9" spans="1:11">
      <c r="A9" s="14"/>
      <c r="K9" s="4" t="s">
        <v>269</v>
      </c>
    </row>
    <row r="10" spans="1:11">
      <c r="A10" s="14"/>
      <c r="B10" s="8" t="s">
        <v>10</v>
      </c>
      <c r="K10" s="4" t="s">
        <v>269</v>
      </c>
    </row>
    <row r="11" spans="1:11">
      <c r="A11" s="14">
        <v>1</v>
      </c>
      <c r="B11" s="4" t="s">
        <v>73</v>
      </c>
      <c r="C11" s="4">
        <v>0.85</v>
      </c>
      <c r="K11" s="4" t="s">
        <v>269</v>
      </c>
    </row>
    <row r="12" spans="1:11">
      <c r="A12" s="14">
        <v>2</v>
      </c>
      <c r="B12" s="4" t="s">
        <v>23</v>
      </c>
      <c r="C12" s="4">
        <v>1</v>
      </c>
    </row>
    <row r="13" spans="1:11">
      <c r="A13" s="14">
        <v>3</v>
      </c>
      <c r="B13" s="4" t="s">
        <v>74</v>
      </c>
      <c r="C13" s="4">
        <v>1.2</v>
      </c>
    </row>
    <row r="14" spans="1:11">
      <c r="A14" s="14"/>
    </row>
    <row r="15" spans="1:11">
      <c r="A15" s="14"/>
    </row>
    <row r="16" spans="1:11">
      <c r="B16" s="8" t="s">
        <v>11</v>
      </c>
    </row>
    <row r="17" spans="1:5">
      <c r="A17" s="14">
        <v>1</v>
      </c>
      <c r="B17" s="4" t="s">
        <v>24</v>
      </c>
      <c r="C17" s="4">
        <v>1.5</v>
      </c>
    </row>
    <row r="18" spans="1:5">
      <c r="A18" s="14">
        <v>2</v>
      </c>
      <c r="B18" s="4" t="s">
        <v>25</v>
      </c>
      <c r="C18" s="4">
        <v>1.2</v>
      </c>
    </row>
    <row r="19" spans="1:5">
      <c r="A19" s="14">
        <v>3</v>
      </c>
      <c r="B19" s="4" t="s">
        <v>26</v>
      </c>
      <c r="C19" s="4">
        <v>1.05</v>
      </c>
    </row>
    <row r="20" spans="1:5">
      <c r="A20" s="14">
        <v>4</v>
      </c>
      <c r="B20" s="4" t="s">
        <v>27</v>
      </c>
      <c r="C20" s="4">
        <v>1</v>
      </c>
    </row>
    <row r="21" spans="1:5">
      <c r="A21" s="14">
        <v>5</v>
      </c>
      <c r="B21" s="4" t="s">
        <v>75</v>
      </c>
      <c r="C21" s="4">
        <v>0.85</v>
      </c>
    </row>
    <row r="22" spans="1:5">
      <c r="A22" s="14"/>
    </row>
    <row r="24" spans="1:5">
      <c r="B24" s="8" t="s">
        <v>105</v>
      </c>
    </row>
    <row r="25" spans="1:5">
      <c r="A25" s="14">
        <v>1</v>
      </c>
      <c r="B25" s="4" t="s">
        <v>76</v>
      </c>
      <c r="E25" s="16">
        <v>0.7</v>
      </c>
    </row>
    <row r="26" spans="1:5">
      <c r="A26" s="14">
        <v>2</v>
      </c>
      <c r="B26" s="4" t="s">
        <v>106</v>
      </c>
      <c r="E26" s="16">
        <v>1</v>
      </c>
    </row>
    <row r="27" spans="1:5">
      <c r="A27" s="14">
        <v>3</v>
      </c>
      <c r="E27" s="41"/>
    </row>
    <row r="28" spans="1:5">
      <c r="A28" s="14"/>
      <c r="E28" s="41"/>
    </row>
    <row r="29" spans="1:5">
      <c r="A29" s="14"/>
      <c r="B29" s="8" t="s">
        <v>108</v>
      </c>
      <c r="E29" s="41"/>
    </row>
    <row r="30" spans="1:5">
      <c r="A30" s="14">
        <v>1</v>
      </c>
      <c r="B30" s="4" t="s">
        <v>256</v>
      </c>
      <c r="E30" s="16">
        <v>0.9</v>
      </c>
    </row>
    <row r="31" spans="1:5">
      <c r="A31" s="14">
        <v>2</v>
      </c>
      <c r="B31" s="4" t="s">
        <v>109</v>
      </c>
      <c r="E31" s="16">
        <v>0.8</v>
      </c>
    </row>
    <row r="32" spans="1:5">
      <c r="A32" s="14">
        <v>3</v>
      </c>
      <c r="B32" s="4" t="s">
        <v>110</v>
      </c>
      <c r="E32" s="16">
        <v>1.2</v>
      </c>
    </row>
    <row r="35" spans="1:5">
      <c r="B35" s="8" t="s">
        <v>12</v>
      </c>
    </row>
    <row r="36" spans="1:5">
      <c r="A36" s="14">
        <v>1</v>
      </c>
      <c r="B36" s="4" t="s">
        <v>77</v>
      </c>
      <c r="E36" s="41">
        <v>1</v>
      </c>
    </row>
    <row r="37" spans="1:5">
      <c r="A37" s="14">
        <v>2</v>
      </c>
      <c r="B37" s="4" t="s">
        <v>257</v>
      </c>
      <c r="E37" s="4">
        <v>1.05</v>
      </c>
    </row>
    <row r="38" spans="1:5">
      <c r="A38" s="14">
        <v>3</v>
      </c>
      <c r="B38" s="4" t="s">
        <v>78</v>
      </c>
      <c r="E38" s="41">
        <v>1</v>
      </c>
    </row>
    <row r="39" spans="1:5">
      <c r="A39" s="14">
        <v>4</v>
      </c>
      <c r="B39" s="4" t="s">
        <v>79</v>
      </c>
      <c r="E39" s="4">
        <v>1.2</v>
      </c>
    </row>
    <row r="40" spans="1:5">
      <c r="A40" s="14">
        <v>5</v>
      </c>
      <c r="B40" s="4" t="s">
        <v>80</v>
      </c>
      <c r="E40" s="4">
        <v>1.25</v>
      </c>
    </row>
    <row r="43" spans="1:5">
      <c r="B43" s="8" t="s">
        <v>13</v>
      </c>
    </row>
    <row r="44" spans="1:5">
      <c r="A44" s="14">
        <v>1</v>
      </c>
      <c r="B44" s="4" t="s">
        <v>33</v>
      </c>
      <c r="C44" s="4">
        <v>0.9</v>
      </c>
    </row>
    <row r="45" spans="1:5">
      <c r="A45" s="14">
        <v>2</v>
      </c>
      <c r="B45" s="4" t="s">
        <v>34</v>
      </c>
      <c r="C45" s="4">
        <v>1</v>
      </c>
    </row>
    <row r="46" spans="1:5">
      <c r="A46" s="14">
        <v>3</v>
      </c>
      <c r="B46" s="4" t="s">
        <v>35</v>
      </c>
      <c r="C46" s="40">
        <v>1.2</v>
      </c>
    </row>
    <row r="49" spans="1:4">
      <c r="B49" s="8" t="s">
        <v>14</v>
      </c>
    </row>
    <row r="50" spans="1:4">
      <c r="A50" s="14">
        <v>1</v>
      </c>
      <c r="B50" s="4" t="s">
        <v>37</v>
      </c>
      <c r="C50" s="4">
        <v>0.9</v>
      </c>
    </row>
    <row r="51" spans="1:4">
      <c r="A51" s="14">
        <v>2</v>
      </c>
      <c r="B51" s="4" t="s">
        <v>82</v>
      </c>
      <c r="C51" s="4">
        <v>1</v>
      </c>
    </row>
    <row r="52" spans="1:4">
      <c r="A52" s="14">
        <v>3</v>
      </c>
      <c r="B52" s="4" t="s">
        <v>81</v>
      </c>
      <c r="C52" s="40">
        <v>1.1000000000000001</v>
      </c>
    </row>
    <row r="55" spans="1:4">
      <c r="B55" s="8" t="s">
        <v>83</v>
      </c>
    </row>
    <row r="56" spans="1:4">
      <c r="A56" s="14">
        <v>1</v>
      </c>
      <c r="B56" s="4" t="s">
        <v>4</v>
      </c>
      <c r="D56" s="4">
        <v>1.3</v>
      </c>
    </row>
    <row r="57" spans="1:4">
      <c r="A57" s="14">
        <v>2</v>
      </c>
      <c r="B57" s="4" t="s">
        <v>38</v>
      </c>
      <c r="D57" s="4">
        <v>1.25</v>
      </c>
    </row>
    <row r="58" spans="1:4">
      <c r="A58" s="14">
        <v>3</v>
      </c>
      <c r="B58" s="4" t="s">
        <v>41</v>
      </c>
      <c r="D58" s="4">
        <v>1.5</v>
      </c>
    </row>
    <row r="59" spans="1:4">
      <c r="A59" s="14">
        <v>4</v>
      </c>
      <c r="B59" s="4" t="s">
        <v>39</v>
      </c>
      <c r="D59" s="4">
        <v>1.2</v>
      </c>
    </row>
    <row r="60" spans="1:4">
      <c r="A60" s="14">
        <v>5</v>
      </c>
      <c r="B60" s="4" t="s">
        <v>40</v>
      </c>
      <c r="D60" s="4">
        <v>1.25</v>
      </c>
    </row>
    <row r="61" spans="1:4">
      <c r="A61" s="14">
        <v>6</v>
      </c>
      <c r="B61" s="4" t="s">
        <v>258</v>
      </c>
      <c r="D61" s="4">
        <v>1.1000000000000001</v>
      </c>
    </row>
    <row r="62" spans="1:4">
      <c r="A62" s="14">
        <v>7</v>
      </c>
      <c r="B62" s="4" t="s">
        <v>84</v>
      </c>
      <c r="D62" s="4">
        <v>0.9</v>
      </c>
    </row>
    <row r="63" spans="1:4">
      <c r="A63" s="14">
        <v>8</v>
      </c>
      <c r="B63" s="4" t="s">
        <v>85</v>
      </c>
      <c r="D63" s="4">
        <v>1</v>
      </c>
    </row>
    <row r="64" spans="1:4">
      <c r="A64" s="14">
        <v>9</v>
      </c>
      <c r="B64" s="4" t="s">
        <v>86</v>
      </c>
      <c r="D64" s="4">
        <v>1.6</v>
      </c>
    </row>
    <row r="65" spans="1:6">
      <c r="A65" s="14"/>
    </row>
    <row r="67" spans="1:6">
      <c r="B67" s="8" t="s">
        <v>42</v>
      </c>
    </row>
    <row r="68" spans="1:6">
      <c r="A68" s="14">
        <v>1</v>
      </c>
      <c r="B68" s="4" t="s">
        <v>87</v>
      </c>
      <c r="E68" s="4">
        <v>0.4</v>
      </c>
    </row>
    <row r="69" spans="1:6">
      <c r="A69" s="14">
        <v>2</v>
      </c>
      <c r="B69" s="4" t="s">
        <v>259</v>
      </c>
      <c r="E69" s="4">
        <v>0.35</v>
      </c>
    </row>
    <row r="70" spans="1:6">
      <c r="A70" s="14">
        <v>3</v>
      </c>
      <c r="B70" s="4" t="s">
        <v>88</v>
      </c>
      <c r="E70" s="4">
        <v>0.3</v>
      </c>
    </row>
    <row r="71" spans="1:6">
      <c r="A71" s="14">
        <v>4</v>
      </c>
      <c r="B71" s="4" t="s">
        <v>89</v>
      </c>
      <c r="E71" s="4">
        <v>0.25</v>
      </c>
    </row>
    <row r="72" spans="1:6">
      <c r="A72" s="14">
        <v>5</v>
      </c>
      <c r="B72" s="4" t="s">
        <v>90</v>
      </c>
      <c r="E72" s="4">
        <v>0.25</v>
      </c>
    </row>
    <row r="75" spans="1:6">
      <c r="B75" s="8" t="s">
        <v>43</v>
      </c>
    </row>
    <row r="76" spans="1:6">
      <c r="A76" s="14">
        <v>1</v>
      </c>
      <c r="B76" s="4" t="s">
        <v>44</v>
      </c>
      <c r="F76" s="4">
        <v>0.85</v>
      </c>
    </row>
    <row r="77" spans="1:6">
      <c r="A77" s="14">
        <v>2</v>
      </c>
      <c r="B77" s="4" t="s">
        <v>45</v>
      </c>
      <c r="F77" s="4">
        <v>0.85</v>
      </c>
    </row>
    <row r="78" spans="1:6">
      <c r="A78" s="14">
        <v>3</v>
      </c>
      <c r="B78" s="4" t="s">
        <v>46</v>
      </c>
      <c r="F78" s="4">
        <v>0.9</v>
      </c>
    </row>
    <row r="79" spans="1:6">
      <c r="A79" s="14">
        <v>4</v>
      </c>
      <c r="B79" s="4" t="s">
        <v>47</v>
      </c>
      <c r="F79" s="4">
        <v>1.1000000000000001</v>
      </c>
    </row>
    <row r="80" spans="1:6">
      <c r="A80" s="14">
        <v>5</v>
      </c>
      <c r="B80" s="4" t="s">
        <v>260</v>
      </c>
      <c r="F80" s="40">
        <v>1.2</v>
      </c>
    </row>
    <row r="83" spans="1:9">
      <c r="B83" s="8" t="s">
        <v>91</v>
      </c>
    </row>
    <row r="84" spans="1:9">
      <c r="A84" s="14">
        <v>1</v>
      </c>
      <c r="B84" s="4" t="s">
        <v>21</v>
      </c>
      <c r="D84" s="4">
        <v>0.9</v>
      </c>
    </row>
    <row r="85" spans="1:9">
      <c r="A85" s="14">
        <v>2</v>
      </c>
      <c r="B85" s="4" t="s">
        <v>92</v>
      </c>
      <c r="D85" s="4">
        <v>1</v>
      </c>
    </row>
    <row r="86" spans="1:9">
      <c r="A86" s="14">
        <v>3</v>
      </c>
      <c r="B86" s="4" t="s">
        <v>93</v>
      </c>
      <c r="D86" s="4">
        <v>1.1000000000000001</v>
      </c>
    </row>
    <row r="89" spans="1:9">
      <c r="B89" s="8" t="s">
        <v>94</v>
      </c>
    </row>
    <row r="90" spans="1:9">
      <c r="A90" s="14">
        <v>1</v>
      </c>
      <c r="B90" s="4" t="s">
        <v>95</v>
      </c>
      <c r="F90" s="4">
        <v>1.05</v>
      </c>
    </row>
    <row r="91" spans="1:9">
      <c r="A91" s="14">
        <v>2</v>
      </c>
      <c r="B91" s="4" t="s">
        <v>96</v>
      </c>
      <c r="F91" s="4">
        <v>1</v>
      </c>
    </row>
    <row r="92" spans="1:9">
      <c r="A92" s="14"/>
    </row>
    <row r="94" spans="1:9">
      <c r="B94" s="8" t="s">
        <v>48</v>
      </c>
    </row>
    <row r="95" spans="1:9">
      <c r="A95" s="14">
        <v>1</v>
      </c>
      <c r="B95" s="4" t="s">
        <v>97</v>
      </c>
      <c r="D95" s="4">
        <v>0.7</v>
      </c>
    </row>
    <row r="96" spans="1:9">
      <c r="A96" s="14">
        <v>2</v>
      </c>
      <c r="B96" s="4" t="s">
        <v>98</v>
      </c>
      <c r="D96" s="4">
        <v>1</v>
      </c>
      <c r="I96" s="34"/>
    </row>
    <row r="97" spans="2:9">
      <c r="I97" s="34"/>
    </row>
    <row r="99" spans="2:9">
      <c r="B99" s="8" t="s">
        <v>49</v>
      </c>
      <c r="F99" s="8" t="s">
        <v>55</v>
      </c>
    </row>
    <row r="100" spans="2:9">
      <c r="B100" s="4" t="s">
        <v>50</v>
      </c>
      <c r="F100" s="4" t="s">
        <v>56</v>
      </c>
    </row>
    <row r="101" spans="2:9">
      <c r="B101" s="4" t="s">
        <v>51</v>
      </c>
      <c r="F101" s="4" t="s">
        <v>57</v>
      </c>
    </row>
    <row r="102" spans="2:9">
      <c r="B102" s="4" t="s">
        <v>52</v>
      </c>
    </row>
    <row r="103" spans="2:9">
      <c r="B103" s="4" t="s">
        <v>53</v>
      </c>
    </row>
    <row r="104" spans="2:9">
      <c r="B104" s="4" t="s">
        <v>54</v>
      </c>
    </row>
    <row r="107" spans="2:9">
      <c r="B107" s="8" t="s">
        <v>252</v>
      </c>
    </row>
    <row r="108" spans="2:9">
      <c r="B108" s="127">
        <f>'Input &amp; Cal'!H21</f>
        <v>0</v>
      </c>
    </row>
    <row r="109" spans="2:9">
      <c r="B109" s="127">
        <f>'Input &amp; Cal'!J21</f>
        <v>0</v>
      </c>
    </row>
    <row r="110" spans="2:9">
      <c r="B110" s="127">
        <f>'Input &amp; Cal'!L21</f>
        <v>0</v>
      </c>
    </row>
    <row r="111" spans="2:9">
      <c r="B111" s="127">
        <f>'Input &amp; Cal'!N21</f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5:H72"/>
  <sheetViews>
    <sheetView topLeftCell="A6" zoomScale="96" zoomScaleNormal="96" workbookViewId="0">
      <selection activeCell="F28" sqref="F28"/>
    </sheetView>
  </sheetViews>
  <sheetFormatPr defaultColWidth="9.1796875" defaultRowHeight="13"/>
  <cols>
    <col min="1" max="1" width="9.1796875" style="4"/>
    <col min="2" max="2" width="20.54296875" style="4" customWidth="1"/>
    <col min="3" max="3" width="18" style="4" customWidth="1"/>
    <col min="4" max="4" width="17.54296875" style="4" customWidth="1"/>
    <col min="5" max="5" width="16.1796875" style="4" customWidth="1"/>
    <col min="6" max="6" width="17" style="4" customWidth="1"/>
    <col min="7" max="7" width="11.453125" style="4" customWidth="1"/>
    <col min="8" max="8" width="12.453125" style="4" customWidth="1"/>
    <col min="9" max="16384" width="9.1796875" style="4"/>
  </cols>
  <sheetData>
    <row r="5" spans="1:8">
      <c r="B5" s="22" t="s">
        <v>29</v>
      </c>
      <c r="C5" s="16"/>
      <c r="D5" s="16"/>
    </row>
    <row r="6" spans="1:8" ht="26">
      <c r="B6" s="500" t="s">
        <v>235</v>
      </c>
      <c r="C6" s="501"/>
      <c r="D6" s="24" t="s">
        <v>71</v>
      </c>
      <c r="E6" s="46" t="s">
        <v>99</v>
      </c>
      <c r="F6" s="45" t="s">
        <v>100</v>
      </c>
      <c r="G6" s="46" t="s">
        <v>101</v>
      </c>
      <c r="H6" s="45" t="s">
        <v>102</v>
      </c>
    </row>
    <row r="7" spans="1:8">
      <c r="A7" s="4">
        <v>1</v>
      </c>
      <c r="B7" s="19">
        <v>0</v>
      </c>
      <c r="C7" s="17">
        <v>500000</v>
      </c>
      <c r="D7" s="17">
        <v>10000</v>
      </c>
      <c r="E7" s="47"/>
      <c r="F7" s="42"/>
      <c r="G7" s="50"/>
      <c r="H7" s="50"/>
    </row>
    <row r="8" spans="1:8">
      <c r="A8" s="4">
        <v>2</v>
      </c>
      <c r="B8" s="20">
        <f>C7+1</f>
        <v>500001</v>
      </c>
      <c r="C8" s="17">
        <v>100000000</v>
      </c>
      <c r="D8" s="17" t="e">
        <f>IF('Input &amp; Cal'!$H$9="True", G8*LN('Input &amp; Cal'!$H$33)+H8,G8*LN('Input &amp; Cal'!$H$27)+H8)</f>
        <v>#VALUE!</v>
      </c>
      <c r="E8" s="48">
        <v>10000</v>
      </c>
      <c r="F8" s="43">
        <v>17500</v>
      </c>
      <c r="G8" s="48">
        <f t="shared" ref="G8:G11" si="0">(F8-E8)/(LN(C8)-LN(B8))</f>
        <v>1415.5442779699188</v>
      </c>
      <c r="H8" s="48">
        <f t="shared" ref="H8:H11" si="1">F8-G8*LN(C8)</f>
        <v>-8575.2892234124411</v>
      </c>
    </row>
    <row r="9" spans="1:8">
      <c r="A9" s="4">
        <v>3</v>
      </c>
      <c r="B9" s="20">
        <f t="shared" ref="B9:B12" si="2">C8+1</f>
        <v>100000001</v>
      </c>
      <c r="C9" s="17">
        <v>1500000000</v>
      </c>
      <c r="D9" s="17" t="e">
        <f>IF('Input &amp; Cal'!$H$9="True", G9*LN('Input &amp; Cal'!$H$33)+H9,G9*LN('Input &amp; Cal'!$H$27)+H9)</f>
        <v>#VALUE!</v>
      </c>
      <c r="E9" s="48">
        <f>F8</f>
        <v>17500</v>
      </c>
      <c r="F9" s="43">
        <v>67800</v>
      </c>
      <c r="G9" s="48">
        <f t="shared" si="0"/>
        <v>18574.249533952428</v>
      </c>
      <c r="H9" s="48">
        <f t="shared" si="1"/>
        <v>-324650.32090918615</v>
      </c>
    </row>
    <row r="10" spans="1:8">
      <c r="A10" s="4">
        <v>4</v>
      </c>
      <c r="B10" s="20">
        <f t="shared" si="2"/>
        <v>1500000001</v>
      </c>
      <c r="C10" s="17">
        <v>10000000000</v>
      </c>
      <c r="D10" s="17" t="e">
        <f>IF('Input &amp; Cal'!$H$9="True",G10*LN('Input &amp; Cal'!$H$33)+H10,G10*LN('Input &amp; Cal'!$H$27)+H10)</f>
        <v>#VALUE!</v>
      </c>
      <c r="E10" s="48">
        <f>F9</f>
        <v>67800</v>
      </c>
      <c r="F10" s="43">
        <v>72700</v>
      </c>
      <c r="G10" s="48">
        <f t="shared" si="0"/>
        <v>2582.8624656108173</v>
      </c>
      <c r="H10" s="48">
        <f t="shared" si="1"/>
        <v>13227.393894306864</v>
      </c>
    </row>
    <row r="11" spans="1:8">
      <c r="A11" s="4">
        <v>5</v>
      </c>
      <c r="B11" s="20">
        <f t="shared" si="2"/>
        <v>10000000001</v>
      </c>
      <c r="C11" s="17">
        <v>15000000000</v>
      </c>
      <c r="D11" s="17" t="e">
        <f>IF('Input &amp; Cal'!$H$9="True", G11*LN('Input &amp; Cal'!$H$33)+H11,G11*LN('Input &amp; Cal'!$H$27)+H11)</f>
        <v>#VALUE!</v>
      </c>
      <c r="E11" s="48">
        <f>F10</f>
        <v>72700</v>
      </c>
      <c r="F11" s="43">
        <v>90000</v>
      </c>
      <c r="G11" s="48">
        <f t="shared" si="0"/>
        <v>42667.049909635141</v>
      </c>
      <c r="H11" s="48">
        <f t="shared" si="1"/>
        <v>-909745.13084385486</v>
      </c>
    </row>
    <row r="12" spans="1:8">
      <c r="A12" s="4">
        <v>6</v>
      </c>
      <c r="B12" s="21">
        <f t="shared" si="2"/>
        <v>15000000001</v>
      </c>
      <c r="C12" s="18">
        <v>1000000000000</v>
      </c>
      <c r="D12" s="21" t="e">
        <f>IF('Input &amp; Cal'!$H$9="True", G12*LN('Input &amp; Cal'!$H$33)+H12,G12*LN('Input &amp; Cal'!$H$27)+H12)</f>
        <v>#VALUE!</v>
      </c>
      <c r="E12" s="49">
        <f>F11</f>
        <v>90000</v>
      </c>
      <c r="F12" s="44">
        <v>250000</v>
      </c>
      <c r="G12" s="49">
        <f>(F12-E12)/(LN(C12)-LN(B12))</f>
        <v>38097.913314263067</v>
      </c>
      <c r="H12" s="49">
        <f>F12-G12*LN(C12)</f>
        <v>-802684.24725921825</v>
      </c>
    </row>
    <row r="15" spans="1:8">
      <c r="B15" s="22" t="s">
        <v>30</v>
      </c>
    </row>
    <row r="16" spans="1:8">
      <c r="B16" s="28" t="s">
        <v>237</v>
      </c>
      <c r="C16" s="23" t="s">
        <v>72</v>
      </c>
    </row>
    <row r="17" spans="1:5">
      <c r="B17" s="20">
        <v>1500000</v>
      </c>
      <c r="C17" s="27" t="e">
        <f>LOG('Input &amp; Cal'!H22*1.95583/$B$17,2)</f>
        <v>#VALUE!</v>
      </c>
    </row>
    <row r="18" spans="1:5">
      <c r="B18" s="20"/>
      <c r="C18" s="27" t="e">
        <f>LOG('Input &amp; Cal'!J22*1.95583/$B$17,2)</f>
        <v>#VALUE!</v>
      </c>
    </row>
    <row r="19" spans="1:5">
      <c r="B19" s="20"/>
      <c r="C19" s="27" t="e">
        <f>LOG('Input &amp; Cal'!L22*1.95583/$B$17,2)</f>
        <v>#VALUE!</v>
      </c>
    </row>
    <row r="20" spans="1:5">
      <c r="B20" s="21"/>
      <c r="C20" s="38" t="e">
        <f>LOG('Input &amp; Cal'!N22*1.95583/$B$17,2)</f>
        <v>#VALUE!</v>
      </c>
    </row>
    <row r="23" spans="1:5">
      <c r="B23" s="22" t="s">
        <v>31</v>
      </c>
      <c r="C23" s="16"/>
      <c r="D23" s="16"/>
    </row>
    <row r="24" spans="1:5">
      <c r="B24" s="500" t="s">
        <v>236</v>
      </c>
      <c r="C24" s="501"/>
      <c r="D24" s="23" t="s">
        <v>32</v>
      </c>
      <c r="E24" s="26"/>
    </row>
    <row r="25" spans="1:5">
      <c r="A25" s="4">
        <v>1</v>
      </c>
      <c r="B25" s="141">
        <v>0</v>
      </c>
      <c r="C25" s="142">
        <v>12500000</v>
      </c>
      <c r="D25" s="29">
        <v>1.4</v>
      </c>
      <c r="E25" s="127"/>
    </row>
    <row r="26" spans="1:5">
      <c r="A26" s="4">
        <v>2</v>
      </c>
      <c r="B26" s="143">
        <f>C25+1</f>
        <v>12500001</v>
      </c>
      <c r="C26" s="142">
        <v>25000000</v>
      </c>
      <c r="D26" s="29">
        <v>1.425</v>
      </c>
      <c r="E26" s="127"/>
    </row>
    <row r="27" spans="1:5">
      <c r="A27" s="4">
        <v>3</v>
      </c>
      <c r="B27" s="143">
        <f t="shared" ref="B27:B32" si="3">C26+1</f>
        <v>25000001</v>
      </c>
      <c r="C27" s="142">
        <v>37500000</v>
      </c>
      <c r="D27" s="29">
        <v>1.45</v>
      </c>
      <c r="E27" s="127"/>
    </row>
    <row r="28" spans="1:5">
      <c r="A28" s="4">
        <v>4</v>
      </c>
      <c r="B28" s="143">
        <f t="shared" si="3"/>
        <v>37500001</v>
      </c>
      <c r="C28" s="142">
        <v>50000000</v>
      </c>
      <c r="D28" s="29">
        <v>1.5</v>
      </c>
      <c r="E28" s="127"/>
    </row>
    <row r="29" spans="1:5">
      <c r="A29" s="4">
        <v>5</v>
      </c>
      <c r="B29" s="143">
        <f t="shared" si="3"/>
        <v>50000001</v>
      </c>
      <c r="C29" s="142">
        <v>75000000</v>
      </c>
      <c r="D29" s="29">
        <v>1.5</v>
      </c>
      <c r="E29" s="127"/>
    </row>
    <row r="30" spans="1:5">
      <c r="A30" s="4">
        <v>6</v>
      </c>
      <c r="B30" s="143">
        <f t="shared" si="3"/>
        <v>75000001</v>
      </c>
      <c r="C30" s="142">
        <v>100000000</v>
      </c>
      <c r="D30" s="29">
        <v>1.55</v>
      </c>
      <c r="E30" s="127"/>
    </row>
    <row r="31" spans="1:5">
      <c r="A31" s="4">
        <v>7</v>
      </c>
      <c r="B31" s="143">
        <f t="shared" si="3"/>
        <v>100000001</v>
      </c>
      <c r="C31" s="142">
        <v>150000000</v>
      </c>
      <c r="D31" s="29">
        <v>1.6</v>
      </c>
      <c r="E31" s="127"/>
    </row>
    <row r="32" spans="1:5">
      <c r="A32" s="4">
        <v>8</v>
      </c>
      <c r="B32" s="144">
        <f t="shared" si="3"/>
        <v>150000001</v>
      </c>
      <c r="C32" s="145">
        <v>1000000000000</v>
      </c>
      <c r="D32" s="30">
        <v>1.6</v>
      </c>
      <c r="E32" s="127"/>
    </row>
    <row r="36" spans="2:6">
      <c r="B36" s="22" t="s">
        <v>133</v>
      </c>
      <c r="E36" s="22" t="s">
        <v>134</v>
      </c>
    </row>
    <row r="37" spans="2:6">
      <c r="B37" s="28" t="s">
        <v>237</v>
      </c>
      <c r="C37" s="23" t="s">
        <v>72</v>
      </c>
      <c r="E37" s="28" t="s">
        <v>237</v>
      </c>
      <c r="F37" s="23" t="s">
        <v>72</v>
      </c>
    </row>
    <row r="38" spans="2:6">
      <c r="B38" s="20">
        <v>1500000</v>
      </c>
      <c r="C38" s="27" t="e">
        <f>LOG('Input &amp; Cal'!H86*1.95583/$B$38,2)</f>
        <v>#VALUE!</v>
      </c>
      <c r="E38" s="20">
        <v>1500000</v>
      </c>
      <c r="F38" s="27" t="e">
        <f>LOG('Input &amp; Cal'!H95*1.95583/$E$38,2)</f>
        <v>#VALUE!</v>
      </c>
    </row>
    <row r="39" spans="2:6">
      <c r="B39" s="20"/>
      <c r="C39" s="27" t="e">
        <f>LOG('Input &amp; Cal'!J86*1.95583/$B$17,2)</f>
        <v>#VALUE!</v>
      </c>
      <c r="E39" s="20"/>
      <c r="F39" s="27" t="e">
        <f>LOG('Input &amp; Cal'!J95*1.95583/$E$38,2)</f>
        <v>#VALUE!</v>
      </c>
    </row>
    <row r="40" spans="2:6">
      <c r="B40" s="20"/>
      <c r="C40" s="27" t="e">
        <f>LOG('Input &amp; Cal'!L86*1.95583/$B$17,2)</f>
        <v>#VALUE!</v>
      </c>
      <c r="E40" s="20"/>
      <c r="F40" s="27" t="e">
        <f>LOG('Input &amp; Cal'!L95*1.95583/$E$38,2)</f>
        <v>#VALUE!</v>
      </c>
    </row>
    <row r="41" spans="2:6">
      <c r="B41" s="21"/>
      <c r="C41" s="38" t="e">
        <f>LOG('Input &amp; Cal'!N86*1.95583/$B$17,2)</f>
        <v>#VALUE!</v>
      </c>
      <c r="E41" s="21"/>
      <c r="F41" s="38" t="e">
        <f>LOG('Input &amp; Cal'!N95*1.95583/$E$38,2)</f>
        <v>#VALUE!</v>
      </c>
    </row>
    <row r="45" spans="2:6">
      <c r="B45" s="22" t="s">
        <v>253</v>
      </c>
    </row>
    <row r="46" spans="2:6" ht="13.5" customHeight="1">
      <c r="B46" s="28" t="s">
        <v>237</v>
      </c>
      <c r="C46" s="23" t="s">
        <v>254</v>
      </c>
      <c r="D46" s="23" t="s">
        <v>255</v>
      </c>
    </row>
    <row r="47" spans="2:6" ht="11.25" customHeight="1">
      <c r="B47" s="130"/>
      <c r="C47" s="131"/>
      <c r="D47" s="132"/>
    </row>
    <row r="48" spans="2:6">
      <c r="B48" s="135" t="s">
        <v>245</v>
      </c>
      <c r="C48" s="131"/>
      <c r="D48" s="133"/>
    </row>
    <row r="49" spans="2:4">
      <c r="B49" s="20">
        <v>1500000</v>
      </c>
      <c r="C49" s="27" t="e">
        <f>LOG(('Input &amp; Cal'!H119*VLOOKUP('Input &amp; Cal'!$D$11,CURRENCY_RATES!$A$2:$B$52,2,0))*1.95583/$B$49,2)</f>
        <v>#NUM!</v>
      </c>
      <c r="D49" s="128" t="e">
        <f>HLOOKUP('Input &amp; Cal'!$H$119,'Input &amp; Cal'!$H$21:$N$24,4,0)^C49</f>
        <v>#N/A</v>
      </c>
    </row>
    <row r="50" spans="2:4">
      <c r="B50" s="20"/>
      <c r="C50" s="27" t="e">
        <f>LOG(('Input &amp; Cal'!L119*VLOOKUP('Input &amp; Cal'!$D$11,CURRENCY_RATES!$A$2:$B$52,2,0))*1.95583/$B$49,2)</f>
        <v>#NUM!</v>
      </c>
      <c r="D50" s="128" t="e">
        <f>HLOOKUP('Input &amp; Cal'!$H$119,'Input &amp; Cal'!$H$21:$N$24,4,0)^C50</f>
        <v>#N/A</v>
      </c>
    </row>
    <row r="51" spans="2:4">
      <c r="B51" s="20"/>
      <c r="C51" s="27" t="e">
        <f>LOG((('Input &amp; Cal'!J119+'Input &amp; Cal'!L119)*VLOOKUP('Input &amp; Cal'!$D$11,CURRENCY_RATES!$A$2:$B$52,2,0))*1.95583/$B$49,2)</f>
        <v>#NUM!</v>
      </c>
      <c r="D51" s="128" t="e">
        <f>HLOOKUP('Input &amp; Cal'!$H$119,'Input &amp; Cal'!$H$21:$N$24,4,0)^C51</f>
        <v>#N/A</v>
      </c>
    </row>
    <row r="52" spans="2:4">
      <c r="B52" s="134" t="s">
        <v>246</v>
      </c>
      <c r="C52" s="136"/>
      <c r="D52" s="136"/>
    </row>
    <row r="53" spans="2:4">
      <c r="B53" s="20">
        <v>1500000</v>
      </c>
      <c r="C53" s="27" t="e">
        <f>LOG(('Input &amp; Cal'!H120*VLOOKUP('Input &amp; Cal'!$D$11,CURRENCY_RATES!$A$2:$B$52,2,0))*1.95583/$B$53,2)</f>
        <v>#NUM!</v>
      </c>
      <c r="D53" s="128" t="e">
        <f>HLOOKUP('Input &amp; Cal'!$H$119,'Input &amp; Cal'!$H$21:$N$24,4,0)^C53</f>
        <v>#N/A</v>
      </c>
    </row>
    <row r="54" spans="2:4">
      <c r="B54" s="136"/>
      <c r="C54" s="130" t="e">
        <f>LOG(('Input &amp; Cal'!L120*VLOOKUP('Input &amp; Cal'!$D$11,CURRENCY_RATES!$A$2:$B$52,2,0))*1.95583/$B$53,2)</f>
        <v>#NUM!</v>
      </c>
      <c r="D54" s="128" t="e">
        <f>HLOOKUP('Input &amp; Cal'!$H$119,'Input &amp; Cal'!$H$21:$N$24,4,0)^C54</f>
        <v>#N/A</v>
      </c>
    </row>
    <row r="55" spans="2:4">
      <c r="B55" s="136"/>
      <c r="C55" s="130" t="e">
        <f>LOG((('Input &amp; Cal'!J120+'Input &amp; Cal'!L120)*VLOOKUP('Input &amp; Cal'!$D$11,CURRENCY_RATES!$A$2:$B$52,2,0))*1.95583/$B$53,2)</f>
        <v>#NUM!</v>
      </c>
      <c r="D55" s="128" t="e">
        <f>HLOOKUP('Input &amp; Cal'!$H$119,'Input &amp; Cal'!$H$21:$N$24,4,0)^C55</f>
        <v>#N/A</v>
      </c>
    </row>
    <row r="56" spans="2:4">
      <c r="B56" s="134" t="s">
        <v>247</v>
      </c>
      <c r="C56" s="136"/>
      <c r="D56" s="136"/>
    </row>
    <row r="57" spans="2:4">
      <c r="B57" s="20">
        <v>1500000</v>
      </c>
      <c r="C57" s="27" t="e">
        <f>LOG(('Input &amp; Cal'!H121*VLOOKUP('Input &amp; Cal'!$D$11,CURRENCY_RATES!$A$2:$B$52,2,0))*1.95583/$B$57,2)</f>
        <v>#NUM!</v>
      </c>
      <c r="D57" s="128" t="e">
        <f>HLOOKUP('Input &amp; Cal'!$H$119,'Input &amp; Cal'!$H$21:$N$24,4,0)^C57</f>
        <v>#N/A</v>
      </c>
    </row>
    <row r="58" spans="2:4">
      <c r="B58" s="136"/>
      <c r="C58" s="130" t="e">
        <f>LOG(('Input &amp; Cal'!L121*VLOOKUP('Input &amp; Cal'!$D$11,CURRENCY_RATES!$A$2:$B$52,2,0))*1.95583/$B$57,2)</f>
        <v>#NUM!</v>
      </c>
      <c r="D58" s="128" t="e">
        <f>HLOOKUP('Input &amp; Cal'!$H$119,'Input &amp; Cal'!$H$21:$N$24,4,0)^C58</f>
        <v>#N/A</v>
      </c>
    </row>
    <row r="59" spans="2:4">
      <c r="B59" s="136"/>
      <c r="C59" s="130" t="e">
        <f>LOG((('Input &amp; Cal'!J121+'Input &amp; Cal'!L121)*VLOOKUP('Input &amp; Cal'!$D$11,CURRENCY_RATES!$A$2:$B$52,2,0))*1.95583/$B$57,2)</f>
        <v>#NUM!</v>
      </c>
      <c r="D59" s="128" t="e">
        <f>HLOOKUP('Input &amp; Cal'!$H$119,'Input &amp; Cal'!$H$21:$N$24,4,0)^C59</f>
        <v>#N/A</v>
      </c>
    </row>
    <row r="60" spans="2:4">
      <c r="B60" s="134" t="s">
        <v>248</v>
      </c>
      <c r="C60" s="136"/>
      <c r="D60" s="136"/>
    </row>
    <row r="61" spans="2:4">
      <c r="B61" s="20">
        <v>1500000</v>
      </c>
      <c r="C61" s="27" t="e">
        <f>LOG(('Input &amp; Cal'!H122*VLOOKUP('Input &amp; Cal'!$D$11,CURRENCY_RATES!$A$2:$B$52,2,0))*1.95583/$B$61,2)</f>
        <v>#NUM!</v>
      </c>
      <c r="D61" s="128" t="e">
        <f>HLOOKUP('Input &amp; Cal'!$H$119,'Input &amp; Cal'!$H$21:$N$24,4,0)^C61</f>
        <v>#N/A</v>
      </c>
    </row>
    <row r="62" spans="2:4">
      <c r="B62" s="136"/>
      <c r="C62" s="130" t="e">
        <f>LOG(('Input &amp; Cal'!L122*VLOOKUP('Input &amp; Cal'!$D$11,CURRENCY_RATES!$A$2:$B$52,2,0))*1.95583/$B$61,2)</f>
        <v>#NUM!</v>
      </c>
      <c r="D62" s="128" t="e">
        <f>HLOOKUP('Input &amp; Cal'!$H$119,'Input &amp; Cal'!$H$21:$N$24,4,0)^C62</f>
        <v>#N/A</v>
      </c>
    </row>
    <row r="63" spans="2:4">
      <c r="B63" s="136"/>
      <c r="C63" s="130" t="e">
        <f>LOG((('Input &amp; Cal'!J122+'Input &amp; Cal'!L122)*VLOOKUP('Input &amp; Cal'!$D$11,CURRENCY_RATES!$A$2:$B$52,2,0))*1.95583/$B$61,2)</f>
        <v>#NUM!</v>
      </c>
      <c r="D63" s="128" t="e">
        <f>HLOOKUP('Input &amp; Cal'!$H$119,'Input &amp; Cal'!$H$21:$N$24,4,0)^C63</f>
        <v>#N/A</v>
      </c>
    </row>
    <row r="64" spans="2:4">
      <c r="B64" s="134" t="s">
        <v>249</v>
      </c>
      <c r="C64" s="136"/>
      <c r="D64" s="136"/>
    </row>
    <row r="65" spans="2:4">
      <c r="B65" s="20">
        <v>1500000</v>
      </c>
      <c r="C65" s="27" t="e">
        <f>LOG(('Input &amp; Cal'!H123*VLOOKUP('Input &amp; Cal'!$D$11,CURRENCY_RATES!$A$2:$B$52,2,0))*1.95583/$B$65,2)</f>
        <v>#NUM!</v>
      </c>
      <c r="D65" s="128" t="e">
        <f>HLOOKUP('Input &amp; Cal'!$H$119,'Input &amp; Cal'!$H$21:$N$24,4,0)^C65</f>
        <v>#N/A</v>
      </c>
    </row>
    <row r="66" spans="2:4">
      <c r="B66" s="136"/>
      <c r="C66" s="130" t="e">
        <f>LOG(('Input &amp; Cal'!L123*VLOOKUP('Input &amp; Cal'!$D$11,CURRENCY_RATES!$A$2:$B$52,2,0))*1.95583/$B$65,2)</f>
        <v>#NUM!</v>
      </c>
      <c r="D66" s="128" t="e">
        <f>HLOOKUP('Input &amp; Cal'!$H$119,'Input &amp; Cal'!$H$21:$N$24,4,0)^C66</f>
        <v>#N/A</v>
      </c>
    </row>
    <row r="67" spans="2:4">
      <c r="B67" s="136"/>
      <c r="C67" s="130" t="e">
        <f>LOG((('Input &amp; Cal'!J123+'Input &amp; Cal'!L123)*VLOOKUP('Input &amp; Cal'!$D$11,CURRENCY_RATES!$A$2:$B$52,2,0))*1.95583/$B$65,2)</f>
        <v>#NUM!</v>
      </c>
      <c r="D67" s="128" t="e">
        <f>HLOOKUP('Input &amp; Cal'!$H$119,'Input &amp; Cal'!$H$21:$N$24,4,0)^C67</f>
        <v>#N/A</v>
      </c>
    </row>
    <row r="68" spans="2:4">
      <c r="B68" s="134" t="s">
        <v>250</v>
      </c>
      <c r="C68" s="136"/>
      <c r="D68" s="136"/>
    </row>
    <row r="69" spans="2:4">
      <c r="B69" s="20">
        <v>1500000</v>
      </c>
      <c r="C69" s="27" t="e">
        <f>LOG(('Input &amp; Cal'!H124*VLOOKUP('Input &amp; Cal'!$D$11,CURRENCY_RATES!$A$2:$B$52,2,0))*1.95583/$B$61,2)</f>
        <v>#NUM!</v>
      </c>
      <c r="D69" s="128" t="e">
        <f>HLOOKUP('Input &amp; Cal'!$H$119,'Input &amp; Cal'!$H$21:$N$24,4,0)^C69</f>
        <v>#N/A</v>
      </c>
    </row>
    <row r="70" spans="2:4">
      <c r="B70" s="136"/>
      <c r="C70" s="130" t="e">
        <f>LOG(('Input &amp; Cal'!L124*VLOOKUP('Input &amp; Cal'!$D$11,CURRENCY_RATES!$A$2:$B$52,2,0))*1.95583/$B$61,2)</f>
        <v>#NUM!</v>
      </c>
      <c r="D70" s="128" t="e">
        <f>HLOOKUP('Input &amp; Cal'!$H$119,'Input &amp; Cal'!$H$21:$N$24,4,0)^C70</f>
        <v>#N/A</v>
      </c>
    </row>
    <row r="71" spans="2:4">
      <c r="B71" s="136"/>
      <c r="C71" s="130" t="e">
        <f>LOG((('Input &amp; Cal'!J124+'Input &amp; Cal'!L124)*VLOOKUP('Input &amp; Cal'!$D$11,CURRENCY_RATES!$A$2:$B$52,2,0))*1.95583/$B$61,2)</f>
        <v>#NUM!</v>
      </c>
      <c r="D71" s="128" t="e">
        <f>HLOOKUP('Input &amp; Cal'!$H$119,'Input &amp; Cal'!$H$21:$N$24,4,0)^C71</f>
        <v>#N/A</v>
      </c>
    </row>
    <row r="72" spans="2:4">
      <c r="B72" s="129"/>
      <c r="C72" s="129"/>
      <c r="D72" s="129"/>
    </row>
  </sheetData>
  <mergeCells count="2">
    <mergeCell ref="B6:C6"/>
    <mergeCell ref="B24:C24"/>
  </mergeCells>
  <pageMargins left="0.7" right="0.7" top="0.75" bottom="0.75" header="0.3" footer="0.3"/>
  <pageSetup paperSize="9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12"/>
  <sheetViews>
    <sheetView workbookViewId="0">
      <selection activeCell="B10" sqref="B10"/>
    </sheetView>
  </sheetViews>
  <sheetFormatPr defaultColWidth="8.81640625" defaultRowHeight="14.5"/>
  <cols>
    <col min="1" max="1" width="25.54296875" bestFit="1" customWidth="1"/>
    <col min="2" max="2" width="12.81640625" customWidth="1"/>
  </cols>
  <sheetData>
    <row r="1" spans="1:2">
      <c r="A1" t="s">
        <v>116</v>
      </c>
      <c r="B1" t="s">
        <v>117</v>
      </c>
    </row>
    <row r="2" spans="1:2">
      <c r="A2" t="s">
        <v>118</v>
      </c>
      <c r="B2">
        <f>'Input &amp; Cal'!Q19</f>
        <v>0</v>
      </c>
    </row>
    <row r="3" spans="1:2">
      <c r="A3" t="s">
        <v>119</v>
      </c>
      <c r="B3" t="s">
        <v>130</v>
      </c>
    </row>
    <row r="4" spans="1:2">
      <c r="A4" t="s">
        <v>120</v>
      </c>
      <c r="B4" t="s">
        <v>131</v>
      </c>
    </row>
    <row r="5" spans="1:2">
      <c r="A5" t="s">
        <v>121</v>
      </c>
      <c r="B5" t="str">
        <f>'Input &amp; Cal'!Q18</f>
        <v>Reena Kong</v>
      </c>
    </row>
    <row r="6" spans="1:2">
      <c r="A6" t="s">
        <v>122</v>
      </c>
      <c r="B6" t="s">
        <v>123</v>
      </c>
    </row>
    <row r="7" spans="1:2">
      <c r="A7" t="s">
        <v>124</v>
      </c>
      <c r="B7" s="86">
        <v>12000000</v>
      </c>
    </row>
    <row r="8" spans="1:2">
      <c r="A8" t="s">
        <v>125</v>
      </c>
      <c r="B8" s="86">
        <v>10000000</v>
      </c>
    </row>
    <row r="9" spans="1:2">
      <c r="A9" t="s">
        <v>126</v>
      </c>
      <c r="B9" s="86">
        <f>+B7*0.12%</f>
        <v>14399.999999999998</v>
      </c>
    </row>
    <row r="10" spans="1:2">
      <c r="A10" t="s">
        <v>127</v>
      </c>
      <c r="B10" s="87">
        <v>0.6</v>
      </c>
    </row>
    <row r="11" spans="1:2">
      <c r="A11" t="s">
        <v>128</v>
      </c>
      <c r="B11" s="87">
        <v>0.25</v>
      </c>
    </row>
    <row r="12" spans="1:2">
      <c r="A12" t="s">
        <v>129</v>
      </c>
      <c r="B12" s="88">
        <f>B9*(1-B10-B11)</f>
        <v>2160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tCurrency"/>
  <dimension ref="A1:E52"/>
  <sheetViews>
    <sheetView workbookViewId="0">
      <selection activeCell="D2" sqref="D2:E52"/>
    </sheetView>
  </sheetViews>
  <sheetFormatPr defaultColWidth="8.81640625" defaultRowHeight="14.5"/>
  <cols>
    <col min="1" max="1" width="21.453125" style="106" customWidth="1"/>
    <col min="2" max="2" width="26" style="111" customWidth="1"/>
    <col min="3" max="3" width="1.54296875" style="109" customWidth="1"/>
    <col min="4" max="4" width="21.453125" style="106" customWidth="1"/>
    <col min="5" max="5" width="31.1796875" style="107" customWidth="1"/>
  </cols>
  <sheetData>
    <row r="1" spans="1:5">
      <c r="A1" s="104" t="s">
        <v>238</v>
      </c>
      <c r="B1" s="110" t="s">
        <v>240</v>
      </c>
      <c r="C1" s="108"/>
      <c r="D1" s="104" t="s">
        <v>238</v>
      </c>
      <c r="E1" s="105" t="s">
        <v>239</v>
      </c>
    </row>
    <row r="2" spans="1:5">
      <c r="A2" s="106" t="s">
        <v>226</v>
      </c>
      <c r="B2" s="111">
        <v>1</v>
      </c>
      <c r="D2" s="106" t="s">
        <v>226</v>
      </c>
      <c r="E2" s="107" t="s">
        <v>225</v>
      </c>
    </row>
    <row r="3" spans="1:5">
      <c r="A3" s="106" t="s">
        <v>136</v>
      </c>
      <c r="B3" s="111">
        <v>1</v>
      </c>
      <c r="D3" s="106" t="s">
        <v>136</v>
      </c>
      <c r="E3" s="107" t="s">
        <v>135</v>
      </c>
    </row>
    <row r="4" spans="1:5">
      <c r="A4" s="106" t="s">
        <v>140</v>
      </c>
      <c r="B4" s="111">
        <v>1</v>
      </c>
      <c r="D4" s="106" t="s">
        <v>140</v>
      </c>
      <c r="E4" s="107" t="s">
        <v>139</v>
      </c>
    </row>
    <row r="5" spans="1:5">
      <c r="A5" s="106" t="s">
        <v>138</v>
      </c>
      <c r="B5" s="111">
        <v>1</v>
      </c>
      <c r="D5" s="106" t="s">
        <v>138</v>
      </c>
      <c r="E5" s="107" t="s">
        <v>137</v>
      </c>
    </row>
    <row r="6" spans="1:5">
      <c r="A6" s="106" t="s">
        <v>143</v>
      </c>
      <c r="B6" s="111">
        <v>1</v>
      </c>
      <c r="D6" s="106" t="s">
        <v>143</v>
      </c>
      <c r="E6" s="107" t="s">
        <v>142</v>
      </c>
    </row>
    <row r="7" spans="1:5">
      <c r="A7" s="106" t="s">
        <v>141</v>
      </c>
      <c r="B7" s="111">
        <v>1</v>
      </c>
      <c r="D7" s="106" t="s">
        <v>141</v>
      </c>
      <c r="E7" s="107" t="s">
        <v>241</v>
      </c>
    </row>
    <row r="8" spans="1:5">
      <c r="A8" s="106" t="s">
        <v>145</v>
      </c>
      <c r="B8" s="111">
        <v>1</v>
      </c>
      <c r="D8" s="106" t="s">
        <v>145</v>
      </c>
      <c r="E8" s="107" t="s">
        <v>144</v>
      </c>
    </row>
    <row r="9" spans="1:5">
      <c r="A9" s="106" t="s">
        <v>216</v>
      </c>
      <c r="B9" s="111">
        <v>1</v>
      </c>
      <c r="D9" s="106" t="s">
        <v>216</v>
      </c>
      <c r="E9" s="107" t="s">
        <v>215</v>
      </c>
    </row>
    <row r="10" spans="1:5">
      <c r="A10" s="106" t="s">
        <v>147</v>
      </c>
      <c r="B10" s="111">
        <v>1</v>
      </c>
      <c r="D10" s="106" t="s">
        <v>147</v>
      </c>
      <c r="E10" s="107" t="s">
        <v>146</v>
      </c>
    </row>
    <row r="11" spans="1:5">
      <c r="A11" s="106" t="s">
        <v>149</v>
      </c>
      <c r="B11" s="111">
        <v>1</v>
      </c>
      <c r="D11" s="106" t="s">
        <v>149</v>
      </c>
      <c r="E11" s="107" t="s">
        <v>148</v>
      </c>
    </row>
    <row r="12" spans="1:5">
      <c r="A12" s="106" t="s">
        <v>151</v>
      </c>
      <c r="B12" s="111">
        <v>1</v>
      </c>
      <c r="D12" s="106" t="s">
        <v>151</v>
      </c>
      <c r="E12" s="107" t="s">
        <v>150</v>
      </c>
    </row>
    <row r="13" spans="1:5">
      <c r="A13" s="106" t="s">
        <v>153</v>
      </c>
      <c r="B13" s="111">
        <v>1</v>
      </c>
      <c r="D13" s="106" t="s">
        <v>153</v>
      </c>
      <c r="E13" s="107" t="s">
        <v>152</v>
      </c>
    </row>
    <row r="14" spans="1:5">
      <c r="A14" s="106" t="s">
        <v>155</v>
      </c>
      <c r="B14" s="111">
        <v>1</v>
      </c>
      <c r="D14" s="106" t="s">
        <v>155</v>
      </c>
      <c r="E14" s="107" t="s">
        <v>154</v>
      </c>
    </row>
    <row r="15" spans="1:5">
      <c r="A15" s="106" t="s">
        <v>202</v>
      </c>
      <c r="B15" s="111">
        <v>1</v>
      </c>
      <c r="D15" s="106" t="s">
        <v>202</v>
      </c>
      <c r="E15" s="107" t="s">
        <v>201</v>
      </c>
    </row>
    <row r="16" spans="1:5">
      <c r="A16" s="106" t="s">
        <v>157</v>
      </c>
      <c r="B16" s="111">
        <v>1</v>
      </c>
      <c r="D16" s="106" t="s">
        <v>157</v>
      </c>
      <c r="E16" s="107" t="s">
        <v>156</v>
      </c>
    </row>
    <row r="17" spans="1:5">
      <c r="A17" s="106" t="s">
        <v>233</v>
      </c>
      <c r="B17" s="111">
        <v>1</v>
      </c>
      <c r="D17" s="106" t="s">
        <v>233</v>
      </c>
      <c r="E17" s="107" t="s">
        <v>232</v>
      </c>
    </row>
    <row r="18" spans="1:5">
      <c r="A18" s="106" t="s">
        <v>161</v>
      </c>
      <c r="B18" s="111">
        <v>1</v>
      </c>
      <c r="D18" s="106" t="s">
        <v>161</v>
      </c>
      <c r="E18" s="107" t="s">
        <v>160</v>
      </c>
    </row>
    <row r="19" spans="1:5">
      <c r="A19" s="106" t="s">
        <v>167</v>
      </c>
      <c r="B19" s="111">
        <v>1</v>
      </c>
      <c r="D19" s="106" t="s">
        <v>167</v>
      </c>
      <c r="E19" s="107" t="s">
        <v>166</v>
      </c>
    </row>
    <row r="20" spans="1:5">
      <c r="A20" s="106" t="s">
        <v>159</v>
      </c>
      <c r="B20" s="111">
        <v>1</v>
      </c>
      <c r="D20" s="106" t="s">
        <v>159</v>
      </c>
      <c r="E20" s="107" t="s">
        <v>158</v>
      </c>
    </row>
    <row r="21" spans="1:5">
      <c r="A21" s="106" t="s">
        <v>165</v>
      </c>
      <c r="B21" s="111">
        <v>1</v>
      </c>
      <c r="D21" s="106" t="s">
        <v>165</v>
      </c>
      <c r="E21" s="107" t="s">
        <v>164</v>
      </c>
    </row>
    <row r="22" spans="1:5">
      <c r="A22" s="106" t="s">
        <v>163</v>
      </c>
      <c r="B22" s="111">
        <v>1</v>
      </c>
      <c r="D22" s="106" t="s">
        <v>163</v>
      </c>
      <c r="E22" s="107" t="s">
        <v>162</v>
      </c>
    </row>
    <row r="23" spans="1:5">
      <c r="A23" s="106" t="s">
        <v>171</v>
      </c>
      <c r="B23" s="111">
        <v>1</v>
      </c>
      <c r="D23" s="106" t="s">
        <v>171</v>
      </c>
      <c r="E23" s="107" t="s">
        <v>170</v>
      </c>
    </row>
    <row r="24" spans="1:5">
      <c r="A24" s="106" t="s">
        <v>169</v>
      </c>
      <c r="B24" s="111">
        <v>1</v>
      </c>
      <c r="D24" s="106" t="s">
        <v>169</v>
      </c>
      <c r="E24" s="107" t="s">
        <v>168</v>
      </c>
    </row>
    <row r="25" spans="1:5">
      <c r="A25" s="106" t="s">
        <v>192</v>
      </c>
      <c r="B25" s="111">
        <v>1</v>
      </c>
      <c r="D25" s="106" t="s">
        <v>192</v>
      </c>
      <c r="E25" s="107" t="s">
        <v>191</v>
      </c>
    </row>
    <row r="26" spans="1:5">
      <c r="A26" s="106" t="s">
        <v>210</v>
      </c>
      <c r="B26" s="111">
        <v>1</v>
      </c>
      <c r="D26" s="106" t="s">
        <v>210</v>
      </c>
      <c r="E26" s="107" t="s">
        <v>209</v>
      </c>
    </row>
    <row r="27" spans="1:5">
      <c r="A27" s="106" t="s">
        <v>173</v>
      </c>
      <c r="B27" s="111">
        <v>1</v>
      </c>
      <c r="D27" s="106" t="s">
        <v>173</v>
      </c>
      <c r="E27" s="107" t="s">
        <v>172</v>
      </c>
    </row>
    <row r="28" spans="1:5">
      <c r="A28" s="106" t="s">
        <v>175</v>
      </c>
      <c r="B28" s="111">
        <v>1</v>
      </c>
      <c r="D28" s="106" t="s">
        <v>175</v>
      </c>
      <c r="E28" s="107" t="s">
        <v>174</v>
      </c>
    </row>
    <row r="29" spans="1:5">
      <c r="A29" s="106" t="s">
        <v>177</v>
      </c>
      <c r="B29" s="111">
        <v>1</v>
      </c>
      <c r="D29" s="106" t="s">
        <v>177</v>
      </c>
      <c r="E29" s="107" t="s">
        <v>176</v>
      </c>
    </row>
    <row r="30" spans="1:5">
      <c r="A30" s="106" t="s">
        <v>212</v>
      </c>
      <c r="B30" s="111">
        <v>1</v>
      </c>
      <c r="D30" s="106" t="s">
        <v>212</v>
      </c>
      <c r="E30" s="107" t="s">
        <v>211</v>
      </c>
    </row>
    <row r="31" spans="1:5">
      <c r="A31" s="106" t="s">
        <v>186</v>
      </c>
      <c r="B31" s="111">
        <v>1</v>
      </c>
      <c r="D31" s="106" t="s">
        <v>186</v>
      </c>
      <c r="E31" s="107" t="s">
        <v>185</v>
      </c>
    </row>
    <row r="32" spans="1:5">
      <c r="A32" s="106" t="s">
        <v>178</v>
      </c>
      <c r="B32" s="111">
        <v>1</v>
      </c>
      <c r="D32" s="106" t="s">
        <v>178</v>
      </c>
      <c r="E32" s="107" t="s">
        <v>242</v>
      </c>
    </row>
    <row r="33" spans="1:5">
      <c r="A33" s="106" t="s">
        <v>184</v>
      </c>
      <c r="B33" s="111">
        <v>1</v>
      </c>
      <c r="D33" s="106" t="s">
        <v>184</v>
      </c>
      <c r="E33" s="107" t="s">
        <v>183</v>
      </c>
    </row>
    <row r="34" spans="1:5">
      <c r="A34" s="106" t="s">
        <v>182</v>
      </c>
      <c r="B34" s="111">
        <v>1</v>
      </c>
      <c r="D34" s="106" t="s">
        <v>182</v>
      </c>
      <c r="E34" s="107" t="s">
        <v>181</v>
      </c>
    </row>
    <row r="35" spans="1:5">
      <c r="A35" s="106" t="s">
        <v>180</v>
      </c>
      <c r="B35" s="111">
        <v>1</v>
      </c>
      <c r="D35" s="106" t="s">
        <v>180</v>
      </c>
      <c r="E35" s="107" t="s">
        <v>179</v>
      </c>
    </row>
    <row r="36" spans="1:5">
      <c r="A36" s="106" t="s">
        <v>188</v>
      </c>
      <c r="B36" s="111">
        <v>1</v>
      </c>
      <c r="D36" s="106" t="s">
        <v>188</v>
      </c>
      <c r="E36" s="107" t="s">
        <v>187</v>
      </c>
    </row>
    <row r="37" spans="1:5">
      <c r="A37" s="106" t="s">
        <v>190</v>
      </c>
      <c r="B37" s="111">
        <v>1</v>
      </c>
      <c r="D37" s="106" t="s">
        <v>190</v>
      </c>
      <c r="E37" s="107" t="s">
        <v>189</v>
      </c>
    </row>
    <row r="38" spans="1:5">
      <c r="A38" s="106" t="s">
        <v>194</v>
      </c>
      <c r="B38" s="111">
        <v>1</v>
      </c>
      <c r="D38" s="106" t="s">
        <v>194</v>
      </c>
      <c r="E38" s="107" t="s">
        <v>193</v>
      </c>
    </row>
    <row r="39" spans="1:5">
      <c r="A39" s="106" t="s">
        <v>198</v>
      </c>
      <c r="B39" s="111">
        <v>1</v>
      </c>
      <c r="D39" s="106" t="s">
        <v>198</v>
      </c>
      <c r="E39" s="107" t="s">
        <v>197</v>
      </c>
    </row>
    <row r="40" spans="1:5">
      <c r="A40" s="106" t="s">
        <v>200</v>
      </c>
      <c r="B40" s="111">
        <v>1</v>
      </c>
      <c r="D40" s="106" t="s">
        <v>200</v>
      </c>
      <c r="E40" s="107" t="s">
        <v>199</v>
      </c>
    </row>
    <row r="41" spans="1:5">
      <c r="A41" s="106" t="s">
        <v>196</v>
      </c>
      <c r="B41" s="111">
        <v>1</v>
      </c>
      <c r="D41" s="106" t="s">
        <v>196</v>
      </c>
      <c r="E41" s="107" t="s">
        <v>195</v>
      </c>
    </row>
    <row r="42" spans="1:5">
      <c r="A42" s="106" t="s">
        <v>204</v>
      </c>
      <c r="B42" s="111">
        <v>1</v>
      </c>
      <c r="D42" s="106" t="s">
        <v>204</v>
      </c>
      <c r="E42" s="107" t="s">
        <v>203</v>
      </c>
    </row>
    <row r="43" spans="1:5">
      <c r="A43" s="106" t="s">
        <v>206</v>
      </c>
      <c r="B43" s="111">
        <v>1</v>
      </c>
      <c r="D43" s="106" t="s">
        <v>206</v>
      </c>
      <c r="E43" s="107" t="s">
        <v>205</v>
      </c>
    </row>
    <row r="44" spans="1:5">
      <c r="A44" s="106" t="s">
        <v>214</v>
      </c>
      <c r="B44" s="111">
        <v>1</v>
      </c>
      <c r="D44" s="106" t="s">
        <v>214</v>
      </c>
      <c r="E44" s="107" t="s">
        <v>213</v>
      </c>
    </row>
    <row r="45" spans="1:5">
      <c r="A45" s="106" t="s">
        <v>208</v>
      </c>
      <c r="B45" s="111">
        <v>1</v>
      </c>
      <c r="D45" s="106" t="s">
        <v>208</v>
      </c>
      <c r="E45" s="107" t="s">
        <v>207</v>
      </c>
    </row>
    <row r="46" spans="1:5">
      <c r="A46" s="106" t="s">
        <v>218</v>
      </c>
      <c r="B46" s="111">
        <v>1</v>
      </c>
      <c r="D46" s="106" t="s">
        <v>218</v>
      </c>
      <c r="E46" s="107" t="s">
        <v>217</v>
      </c>
    </row>
    <row r="47" spans="1:5">
      <c r="A47" s="106" t="s">
        <v>222</v>
      </c>
      <c r="B47" s="111">
        <v>1</v>
      </c>
      <c r="D47" s="106" t="s">
        <v>222</v>
      </c>
      <c r="E47" s="107" t="s">
        <v>221</v>
      </c>
    </row>
    <row r="48" spans="1:5">
      <c r="A48" s="106" t="s">
        <v>224</v>
      </c>
      <c r="B48" s="111">
        <v>1</v>
      </c>
      <c r="D48" s="106" t="s">
        <v>224</v>
      </c>
      <c r="E48" s="107" t="s">
        <v>223</v>
      </c>
    </row>
    <row r="49" spans="1:5">
      <c r="A49" s="106" t="s">
        <v>220</v>
      </c>
      <c r="B49" s="111">
        <v>1</v>
      </c>
      <c r="D49" s="106" t="s">
        <v>220</v>
      </c>
      <c r="E49" s="107" t="s">
        <v>219</v>
      </c>
    </row>
    <row r="50" spans="1:5">
      <c r="A50" s="106" t="s">
        <v>8</v>
      </c>
      <c r="B50" s="111">
        <v>1</v>
      </c>
      <c r="D50" s="106" t="s">
        <v>8</v>
      </c>
      <c r="E50" s="107" t="s">
        <v>227</v>
      </c>
    </row>
    <row r="51" spans="1:5">
      <c r="A51" s="106" t="s">
        <v>229</v>
      </c>
      <c r="B51" s="111">
        <v>1</v>
      </c>
      <c r="D51" s="106" t="s">
        <v>229</v>
      </c>
      <c r="E51" s="107" t="s">
        <v>228</v>
      </c>
    </row>
    <row r="52" spans="1:5">
      <c r="A52" s="106" t="s">
        <v>231</v>
      </c>
      <c r="B52" s="111">
        <v>1</v>
      </c>
      <c r="D52" s="106" t="s">
        <v>231</v>
      </c>
      <c r="E52" s="107" t="s">
        <v>230</v>
      </c>
    </row>
  </sheetData>
  <sortState xmlns:xlrd2="http://schemas.microsoft.com/office/spreadsheetml/2017/richdata2" ref="D2:E52">
    <sortCondition ref="D2:D52"/>
  </sortState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19</vt:i4>
      </vt:variant>
    </vt:vector>
  </HeadingPairs>
  <TitlesOfParts>
    <vt:vector size="31" baseType="lpstr">
      <vt:lpstr>Input &amp; Cal</vt:lpstr>
      <vt:lpstr>Data</vt:lpstr>
      <vt:lpstr>Score</vt:lpstr>
      <vt:lpstr>Results</vt:lpstr>
      <vt:lpstr>FA 2020</vt:lpstr>
      <vt:lpstr>Fin Analysis Decision Tree</vt:lpstr>
      <vt:lpstr>Sheet1</vt:lpstr>
      <vt:lpstr>Financial Conditions</vt:lpstr>
      <vt:lpstr>Selections &amp; Links</vt:lpstr>
      <vt:lpstr>Factors</vt:lpstr>
      <vt:lpstr>Upload (not yet ready)</vt:lpstr>
      <vt:lpstr>CURRENCY_RATES</vt:lpstr>
      <vt:lpstr>Basis_Limit</vt:lpstr>
      <vt:lpstr>CountryOfDomicile</vt:lpstr>
      <vt:lpstr>Currencies</vt:lpstr>
      <vt:lpstr>EntityCoverage</vt:lpstr>
      <vt:lpstr>FinancialConditions</vt:lpstr>
      <vt:lpstr>Industry</vt:lpstr>
      <vt:lpstr>InsdVsInsd</vt:lpstr>
      <vt:lpstr>InternationalActivities</vt:lpstr>
      <vt:lpstr>Listing</vt:lpstr>
      <vt:lpstr>LitigationHistory</vt:lpstr>
      <vt:lpstr>MAactivity</vt:lpstr>
      <vt:lpstr>MajorShareholder</vt:lpstr>
      <vt:lpstr>PublicOfferings</vt:lpstr>
      <vt:lpstr>QualityOfBoard</vt:lpstr>
      <vt:lpstr>Underwriter</vt:lpstr>
      <vt:lpstr>UnderwriterOpinion</vt:lpstr>
      <vt:lpstr>USListing</vt:lpstr>
      <vt:lpstr>Wordings</vt:lpstr>
      <vt:lpstr>YearsInBiz</vt:lpstr>
    </vt:vector>
  </TitlesOfParts>
  <Manager/>
  <Company>ACR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P100127</dc:creator>
  <cp:keywords/>
  <dc:description/>
  <cp:lastModifiedBy>MELISSA KARIM</cp:lastModifiedBy>
  <cp:lastPrinted>2022-06-07T13:09:48Z</cp:lastPrinted>
  <dcterms:created xsi:type="dcterms:W3CDTF">2008-11-07T02:23:42Z</dcterms:created>
  <dcterms:modified xsi:type="dcterms:W3CDTF">2024-12-26T06:48:06Z</dcterms:modified>
  <cp:category/>
</cp:coreProperties>
</file>